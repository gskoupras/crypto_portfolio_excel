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/>
  <bookViews>
    <workbookView xWindow="0" yWindow="0" windowWidth="19200" windowHeight="7050" tabRatio="1000"/>
  </bookViews>
  <sheets>
    <sheet name="Crypto Portfolio" sheetId="39" r:id="rId1"/>
    <sheet name="Database" sheetId="36" r:id="rId2"/>
    <sheet name="Queries" sheetId="3" r:id="rId3"/>
    <sheet name="Trade History" sheetId="43" r:id="rId4"/>
    <sheet name="Other Accounts" sheetId="32" r:id="rId5"/>
  </sheets>
  <definedNames>
    <definedName name="_xlnm._FilterDatabase" localSheetId="0" hidden="1">'Crypto Portfolio'!$B$10:$S$19</definedName>
    <definedName name="_xlnm._FilterDatabase" localSheetId="3" hidden="1">'Trade History'!$A$1:$G$33</definedName>
    <definedName name="ExternalData_3" localSheetId="2" hidden="1">Queries!$B$4:$C$24</definedName>
    <definedName name="ExternalData_4" localSheetId="2" hidden="1">Queries!$G$4:$H$11</definedName>
    <definedName name="ExternalData_5" localSheetId="2" hidden="1">Queries!$B$32:$L$40</definedName>
  </definedNames>
  <calcPr calcId="162913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3" l="1"/>
  <c r="K8" i="39" s="1"/>
  <c r="I5" i="3"/>
  <c r="K6" i="39" s="1"/>
  <c r="D11" i="3"/>
  <c r="Q6" i="39" s="1"/>
  <c r="E27" i="43" l="1"/>
  <c r="E28" i="43"/>
  <c r="E13" i="43"/>
  <c r="E3" i="43"/>
  <c r="E5" i="43"/>
  <c r="E7" i="43"/>
  <c r="E9" i="43"/>
  <c r="E8" i="43"/>
  <c r="E12" i="43"/>
  <c r="E33" i="43"/>
  <c r="E32" i="43"/>
  <c r="E31" i="43"/>
  <c r="E30" i="43"/>
  <c r="E29" i="43"/>
  <c r="E24" i="43"/>
  <c r="E22" i="43"/>
  <c r="E20" i="43"/>
  <c r="E18" i="43"/>
  <c r="E15" i="43"/>
  <c r="E16" i="43"/>
  <c r="E26" i="43"/>
  <c r="E25" i="43"/>
  <c r="E14" i="43"/>
  <c r="E10" i="43"/>
  <c r="E6" i="43"/>
  <c r="E4" i="43"/>
  <c r="E2" i="43"/>
  <c r="E23" i="43"/>
  <c r="E21" i="43"/>
  <c r="E19" i="43"/>
  <c r="E17" i="43"/>
  <c r="E11" i="43"/>
  <c r="Q8" i="39" l="1"/>
  <c r="B19" i="36"/>
  <c r="B20" i="36" s="1"/>
  <c r="B21" i="36" s="1"/>
  <c r="B22" i="36" s="1"/>
  <c r="B23" i="36" s="1"/>
  <c r="B24" i="36" s="1"/>
  <c r="B25" i="36" s="1"/>
  <c r="C6" i="36" l="1"/>
  <c r="D6" i="36"/>
  <c r="L6" i="36" s="1"/>
  <c r="E6" i="36"/>
  <c r="F6" i="36"/>
  <c r="G6" i="36"/>
  <c r="H6" i="36"/>
  <c r="I6" i="36"/>
  <c r="J6" i="36"/>
  <c r="K6" i="36"/>
  <c r="C7" i="36"/>
  <c r="D7" i="36"/>
  <c r="L7" i="36" s="1"/>
  <c r="E7" i="36"/>
  <c r="F7" i="36"/>
  <c r="G7" i="36"/>
  <c r="H7" i="36"/>
  <c r="I7" i="36"/>
  <c r="J7" i="36"/>
  <c r="K7" i="36"/>
  <c r="C8" i="36"/>
  <c r="D8" i="36"/>
  <c r="L8" i="36" s="1"/>
  <c r="E8" i="36"/>
  <c r="F8" i="36"/>
  <c r="G8" i="36"/>
  <c r="H8" i="36"/>
  <c r="I8" i="36"/>
  <c r="J8" i="36"/>
  <c r="K8" i="36"/>
  <c r="C9" i="36"/>
  <c r="D9" i="36"/>
  <c r="L9" i="36" s="1"/>
  <c r="E9" i="36"/>
  <c r="F9" i="36"/>
  <c r="G9" i="36"/>
  <c r="H9" i="36"/>
  <c r="I9" i="36"/>
  <c r="J9" i="36"/>
  <c r="K9" i="36"/>
  <c r="C10" i="36"/>
  <c r="D10" i="36"/>
  <c r="L10" i="36" s="1"/>
  <c r="E10" i="36"/>
  <c r="F10" i="36"/>
  <c r="G10" i="36"/>
  <c r="H10" i="36"/>
  <c r="I10" i="36"/>
  <c r="J10" i="36"/>
  <c r="K10" i="36"/>
  <c r="C11" i="36"/>
  <c r="D11" i="36"/>
  <c r="L11" i="36" s="1"/>
  <c r="E11" i="36"/>
  <c r="F11" i="36"/>
  <c r="G11" i="36"/>
  <c r="H11" i="36"/>
  <c r="I11" i="36"/>
  <c r="J11" i="36"/>
  <c r="K11" i="36"/>
  <c r="C12" i="36"/>
  <c r="D12" i="36"/>
  <c r="L12" i="36" s="1"/>
  <c r="E12" i="36"/>
  <c r="F12" i="36"/>
  <c r="G12" i="36"/>
  <c r="H12" i="36"/>
  <c r="I12" i="36"/>
  <c r="J12" i="36"/>
  <c r="K12" i="36"/>
  <c r="D5" i="36"/>
  <c r="L5" i="36" s="1"/>
  <c r="E5" i="36"/>
  <c r="F5" i="36"/>
  <c r="G5" i="36"/>
  <c r="H5" i="36"/>
  <c r="I5" i="36"/>
  <c r="J5" i="36"/>
  <c r="K5" i="36"/>
  <c r="C5" i="36"/>
  <c r="M6" i="36" l="1"/>
  <c r="M8" i="36"/>
  <c r="M11" i="36"/>
  <c r="M7" i="36"/>
  <c r="M9" i="36"/>
  <c r="M12" i="36"/>
  <c r="M5" i="36" l="1"/>
  <c r="M10" i="36" l="1"/>
  <c r="B5" i="36" l="1"/>
  <c r="B12" i="36"/>
  <c r="B9" i="36"/>
  <c r="B6" i="36"/>
  <c r="B11" i="36"/>
  <c r="B7" i="36"/>
  <c r="B10" i="36"/>
  <c r="B8" i="36"/>
  <c r="G20" i="36" l="1"/>
  <c r="E25" i="36"/>
  <c r="D18" i="39" s="1"/>
  <c r="D24" i="36"/>
  <c r="C17" i="39" s="1"/>
  <c r="Q18" i="36"/>
  <c r="P11" i="39" s="1"/>
  <c r="T20" i="36"/>
  <c r="S13" i="39" s="1"/>
  <c r="R20" i="36"/>
  <c r="Q13" i="39" s="1"/>
  <c r="G22" i="36"/>
  <c r="F25" i="36"/>
  <c r="S20" i="36"/>
  <c r="R13" i="39" s="1"/>
  <c r="T25" i="36"/>
  <c r="S18" i="39" s="1"/>
  <c r="R22" i="36"/>
  <c r="Q15" i="39" s="1"/>
  <c r="G24" i="36"/>
  <c r="E22" i="36"/>
  <c r="D15" i="39" s="1"/>
  <c r="G21" i="36"/>
  <c r="C24" i="36"/>
  <c r="I24" i="36" s="1"/>
  <c r="F20" i="36"/>
  <c r="F21" i="36"/>
  <c r="D22" i="36"/>
  <c r="C15" i="39" s="1"/>
  <c r="E24" i="36"/>
  <c r="D17" i="39" s="1"/>
  <c r="R23" i="36"/>
  <c r="Q16" i="39" s="1"/>
  <c r="D20" i="36"/>
  <c r="C13" i="39" s="1"/>
  <c r="E21" i="36"/>
  <c r="D14" i="39" s="1"/>
  <c r="C18" i="36"/>
  <c r="I18" i="36" s="1"/>
  <c r="T24" i="36"/>
  <c r="S17" i="39" s="1"/>
  <c r="F22" i="36"/>
  <c r="T19" i="36"/>
  <c r="S12" i="39" s="1"/>
  <c r="Q21" i="36"/>
  <c r="P14" i="39" s="1"/>
  <c r="F19" i="36"/>
  <c r="S25" i="36"/>
  <c r="R18" i="39" s="1"/>
  <c r="D21" i="36"/>
  <c r="C14" i="39" s="1"/>
  <c r="C19" i="36"/>
  <c r="I19" i="36" s="1"/>
  <c r="C20" i="36"/>
  <c r="I20" i="36" s="1"/>
  <c r="C22" i="36"/>
  <c r="I22" i="36" s="1"/>
  <c r="Q23" i="36"/>
  <c r="P16" i="39" s="1"/>
  <c r="Q24" i="36"/>
  <c r="P17" i="39" s="1"/>
  <c r="T22" i="36"/>
  <c r="S15" i="39" s="1"/>
  <c r="E20" i="36"/>
  <c r="D13" i="39" s="1"/>
  <c r="F18" i="36"/>
  <c r="Q20" i="36"/>
  <c r="P13" i="39" s="1"/>
  <c r="Q25" i="36"/>
  <c r="P18" i="39" s="1"/>
  <c r="R18" i="36"/>
  <c r="Q11" i="39" s="1"/>
  <c r="D19" i="36"/>
  <c r="C12" i="39" s="1"/>
  <c r="T21" i="36"/>
  <c r="S14" i="39" s="1"/>
  <c r="S22" i="36"/>
  <c r="R15" i="39" s="1"/>
  <c r="C25" i="36"/>
  <c r="I25" i="36" s="1"/>
  <c r="G18" i="36"/>
  <c r="S24" i="36"/>
  <c r="R17" i="39" s="1"/>
  <c r="S18" i="36"/>
  <c r="R11" i="39" s="1"/>
  <c r="R24" i="36"/>
  <c r="Q17" i="39" s="1"/>
  <c r="C23" i="36"/>
  <c r="I23" i="36" s="1"/>
  <c r="S23" i="36"/>
  <c r="R16" i="39" s="1"/>
  <c r="C21" i="36"/>
  <c r="I21" i="36" s="1"/>
  <c r="Q22" i="36"/>
  <c r="P15" i="39" s="1"/>
  <c r="T23" i="36"/>
  <c r="S16" i="39" s="1"/>
  <c r="D25" i="36"/>
  <c r="C18" i="39" s="1"/>
  <c r="F24" i="36"/>
  <c r="R25" i="36"/>
  <c r="Q18" i="39" s="1"/>
  <c r="S21" i="36"/>
  <c r="R14" i="39" s="1"/>
  <c r="E23" i="36"/>
  <c r="D16" i="39" s="1"/>
  <c r="D23" i="36"/>
  <c r="C16" i="39" s="1"/>
  <c r="G23" i="36"/>
  <c r="T18" i="36"/>
  <c r="S11" i="39" s="1"/>
  <c r="S19" i="36"/>
  <c r="R12" i="39" s="1"/>
  <c r="R21" i="36"/>
  <c r="Q14" i="39" s="1"/>
  <c r="F23" i="36"/>
  <c r="D18" i="36"/>
  <c r="C11" i="39" s="1"/>
  <c r="G25" i="36"/>
  <c r="Q19" i="36"/>
  <c r="P12" i="39" s="1"/>
  <c r="G19" i="36"/>
  <c r="E18" i="36"/>
  <c r="D11" i="39" s="1"/>
  <c r="E19" i="36"/>
  <c r="D12" i="39" s="1"/>
  <c r="R19" i="36"/>
  <c r="Q12" i="39" s="1"/>
  <c r="H15" i="39" l="1"/>
  <c r="H13" i="39"/>
  <c r="H12" i="39"/>
  <c r="H11" i="39"/>
  <c r="H18" i="39"/>
  <c r="H14" i="39"/>
  <c r="H16" i="39"/>
  <c r="H17" i="39"/>
  <c r="B15" i="39"/>
  <c r="B13" i="39"/>
  <c r="K22" i="36"/>
  <c r="J22" i="36"/>
  <c r="I15" i="39" s="1"/>
  <c r="E15" i="39"/>
  <c r="F14" i="39"/>
  <c r="H21" i="36"/>
  <c r="G14" i="39" s="1"/>
  <c r="K18" i="36"/>
  <c r="J18" i="36"/>
  <c r="I11" i="39" s="1"/>
  <c r="E11" i="39"/>
  <c r="F12" i="39"/>
  <c r="H19" i="36"/>
  <c r="G12" i="39" s="1"/>
  <c r="B12" i="39"/>
  <c r="F11" i="39"/>
  <c r="H18" i="36"/>
  <c r="G11" i="39" s="1"/>
  <c r="B11" i="39"/>
  <c r="Q4" i="39" s="1"/>
  <c r="K21" i="36"/>
  <c r="J21" i="36"/>
  <c r="I14" i="39" s="1"/>
  <c r="E14" i="39"/>
  <c r="H25" i="36"/>
  <c r="G18" i="39" s="1"/>
  <c r="F18" i="39"/>
  <c r="E17" i="39"/>
  <c r="J24" i="36"/>
  <c r="I17" i="39" s="1"/>
  <c r="K24" i="36"/>
  <c r="B18" i="39"/>
  <c r="E12" i="39"/>
  <c r="K19" i="36"/>
  <c r="J19" i="36"/>
  <c r="I12" i="39" s="1"/>
  <c r="J20" i="36"/>
  <c r="I13" i="39" s="1"/>
  <c r="E13" i="39"/>
  <c r="K20" i="36"/>
  <c r="F17" i="39"/>
  <c r="H24" i="36"/>
  <c r="G17" i="39" s="1"/>
  <c r="K25" i="36"/>
  <c r="J25" i="36"/>
  <c r="I18" i="39" s="1"/>
  <c r="E18" i="39"/>
  <c r="B14" i="39"/>
  <c r="E16" i="39"/>
  <c r="K23" i="36"/>
  <c r="J23" i="36"/>
  <c r="I16" i="39" s="1"/>
  <c r="F16" i="39"/>
  <c r="H23" i="36"/>
  <c r="G16" i="39" s="1"/>
  <c r="B16" i="39"/>
  <c r="B17" i="39"/>
  <c r="F15" i="39"/>
  <c r="H22" i="36"/>
  <c r="G15" i="39" s="1"/>
  <c r="H20" i="36"/>
  <c r="G13" i="39" s="1"/>
  <c r="F13" i="39"/>
  <c r="V22" i="36" l="1"/>
  <c r="P22" i="36" s="1"/>
  <c r="O15" i="39" s="1"/>
  <c r="J15" i="39"/>
  <c r="L22" i="36"/>
  <c r="K15" i="39" s="1"/>
  <c r="M22" i="36"/>
  <c r="B37" i="36"/>
  <c r="I19" i="39"/>
  <c r="B32" i="36"/>
  <c r="B34" i="36"/>
  <c r="B35" i="36"/>
  <c r="M23" i="36"/>
  <c r="J16" i="39"/>
  <c r="L23" i="36"/>
  <c r="K16" i="39" s="1"/>
  <c r="M20" i="36"/>
  <c r="J13" i="39"/>
  <c r="L20" i="36"/>
  <c r="K13" i="39" s="1"/>
  <c r="J12" i="39"/>
  <c r="L19" i="36"/>
  <c r="K12" i="39" s="1"/>
  <c r="M19" i="36"/>
  <c r="M25" i="36"/>
  <c r="J18" i="39"/>
  <c r="L25" i="36"/>
  <c r="K18" i="39" s="1"/>
  <c r="J17" i="39"/>
  <c r="L24" i="36"/>
  <c r="K17" i="39" s="1"/>
  <c r="M24" i="36"/>
  <c r="B33" i="36"/>
  <c r="B31" i="36"/>
  <c r="B30" i="36"/>
  <c r="B36" i="36"/>
  <c r="J11" i="39"/>
  <c r="L18" i="36"/>
  <c r="K11" i="39" s="1"/>
  <c r="M18" i="36"/>
  <c r="L21" i="36"/>
  <c r="K14" i="39" s="1"/>
  <c r="J14" i="39"/>
  <c r="M21" i="36"/>
  <c r="P19" i="36" l="1"/>
  <c r="O12" i="39" s="1"/>
  <c r="L17" i="39"/>
  <c r="O24" i="36"/>
  <c r="N17" i="39" s="1"/>
  <c r="N24" i="36"/>
  <c r="M17" i="39" s="1"/>
  <c r="J19" i="39"/>
  <c r="N20" i="36"/>
  <c r="M13" i="39" s="1"/>
  <c r="O20" i="36"/>
  <c r="N13" i="39" s="1"/>
  <c r="L13" i="39"/>
  <c r="O22" i="36"/>
  <c r="N15" i="39" s="1"/>
  <c r="N22" i="36"/>
  <c r="M15" i="39" s="1"/>
  <c r="L15" i="39"/>
  <c r="L12" i="39"/>
  <c r="O19" i="36"/>
  <c r="N12" i="39" s="1"/>
  <c r="N19" i="36"/>
  <c r="M12" i="39" s="1"/>
  <c r="O18" i="36"/>
  <c r="N11" i="39" s="1"/>
  <c r="L11" i="39"/>
  <c r="N18" i="36"/>
  <c r="M11" i="39" s="1"/>
  <c r="P18" i="36"/>
  <c r="O11" i="39" s="1"/>
  <c r="P23" i="36"/>
  <c r="O16" i="39" s="1"/>
  <c r="P20" i="36"/>
  <c r="O13" i="39" s="1"/>
  <c r="P24" i="36"/>
  <c r="O17" i="39" s="1"/>
  <c r="P21" i="36"/>
  <c r="O14" i="39" s="1"/>
  <c r="L18" i="39"/>
  <c r="N25" i="36"/>
  <c r="M18" i="39" s="1"/>
  <c r="O25" i="36"/>
  <c r="N18" i="39" s="1"/>
  <c r="L16" i="39"/>
  <c r="O23" i="36"/>
  <c r="N16" i="39" s="1"/>
  <c r="N23" i="36"/>
  <c r="M16" i="39" s="1"/>
  <c r="N21" i="36"/>
  <c r="M14" i="39" s="1"/>
  <c r="L14" i="39"/>
  <c r="O21" i="36"/>
  <c r="N14" i="39" s="1"/>
  <c r="K19" i="39"/>
  <c r="K4" i="39" s="1"/>
  <c r="P25" i="36"/>
  <c r="O18" i="39" s="1"/>
  <c r="N19" i="39" l="1"/>
  <c r="D35" i="36"/>
  <c r="C35" i="36"/>
  <c r="C34" i="36"/>
  <c r="D34" i="36"/>
  <c r="C31" i="36"/>
  <c r="D31" i="36"/>
  <c r="C32" i="36"/>
  <c r="D32" i="36"/>
  <c r="C37" i="36"/>
  <c r="D37" i="36"/>
  <c r="O19" i="39"/>
  <c r="F4" i="39"/>
  <c r="B2" i="32"/>
  <c r="E4" i="32" s="1"/>
  <c r="C36" i="36"/>
  <c r="D36" i="36"/>
  <c r="D30" i="36"/>
  <c r="C30" i="36"/>
  <c r="D33" i="36"/>
  <c r="C33" i="36"/>
  <c r="L19" i="39"/>
  <c r="M19" i="39" l="1"/>
  <c r="F8" i="39" s="1"/>
  <c r="F6" i="39"/>
</calcChain>
</file>

<file path=xl/connections.xml><?xml version="1.0" encoding="utf-8"?>
<connections xmlns="http://schemas.openxmlformats.org/spreadsheetml/2006/main">
  <connection id="1" keepAlive="1" interval="30" name="Query - ALL DATA" description="Connection to the 'ALL DATA' query in the workbook." type="5" refreshedVersion="6" background="1" refreshOnLoad="1" saveData="1">
    <dbPr connection="Provider=Microsoft.Mashup.OleDb.1;Data Source=$Workbook$;Location=ALL DATA;Extended Properties=&quot;&quot;" command="SELECT * FROM [ALL DATA]"/>
  </connection>
  <connection id="2" keepAlive="1" interval="30" name="Query - GLOBAL 1" description="Connection to the 'GLOBAL 1' query in the workbook." type="5" refreshedVersion="6" background="1" refreshOnLoad="1" saveData="1">
    <dbPr connection="Provider=Microsoft.Mashup.OleDb.1;Data Source=$Workbook$;Location=GLOBAL 1;Extended Properties=&quot;&quot;" command="SELECT * FROM [GLOBAL 1]"/>
  </connection>
  <connection id="3" keepAlive="1" interval="30" name="Query - GLOBAL 2" description="Connection to the 'GLOBAL 2' query in the workbook." type="5" refreshedVersion="6" background="1" refreshOnLoad="1" saveData="1">
    <dbPr connection="Provider=Microsoft.Mashup.OleDb.1;Data Source=$Workbook$;Location=GLOBAL 2;Extended Properties=&quot;&quot;" command="SELECT * FROM [GLOBAL 2]"/>
  </connection>
</connections>
</file>

<file path=xl/sharedStrings.xml><?xml version="1.0" encoding="utf-8"?>
<sst xmlns="http://schemas.openxmlformats.org/spreadsheetml/2006/main" count="237" uniqueCount="131">
  <si>
    <t>MY CRYPTO PORTFOLIO</t>
  </si>
  <si>
    <t>TOTAL USD VALUE</t>
  </si>
  <si>
    <t>TOTAL BTC VALUE</t>
  </si>
  <si>
    <t>MOST VALUABLE ASSET</t>
  </si>
  <si>
    <t>Currency</t>
  </si>
  <si>
    <t>MARKET CAP</t>
  </si>
  <si>
    <t>BTC DOMINANCE</t>
  </si>
  <si>
    <t>TOTAL P/L</t>
  </si>
  <si>
    <t>Name</t>
  </si>
  <si>
    <t>Storage</t>
  </si>
  <si>
    <t>Quantity</t>
  </si>
  <si>
    <t>Value</t>
  </si>
  <si>
    <t>Cardano</t>
  </si>
  <si>
    <t>ADA</t>
  </si>
  <si>
    <t>[Record]</t>
  </si>
  <si>
    <t>last_updated</t>
  </si>
  <si>
    <t>active_cryptocurrencies</t>
  </si>
  <si>
    <t>total_market_cap</t>
  </si>
  <si>
    <t>total_volume_24h</t>
  </si>
  <si>
    <t>Price ($)</t>
  </si>
  <si>
    <t>Price Bought ($)</t>
  </si>
  <si>
    <t>Price (BTC)</t>
  </si>
  <si>
    <t>Value ($)</t>
  </si>
  <si>
    <t>Value (BTC)</t>
  </si>
  <si>
    <t>Allocation</t>
  </si>
  <si>
    <t>% Change (24H)</t>
  </si>
  <si>
    <t>% Change (7D)</t>
  </si>
  <si>
    <t>Rank</t>
  </si>
  <si>
    <t>Bitcoin</t>
  </si>
  <si>
    <t>BTC</t>
  </si>
  <si>
    <t>Ethereum</t>
  </si>
  <si>
    <t>ETH</t>
  </si>
  <si>
    <t>Nexo</t>
  </si>
  <si>
    <t>NEXO</t>
  </si>
  <si>
    <t>Daedalus</t>
  </si>
  <si>
    <t>TOTAL</t>
  </si>
  <si>
    <t>XRP</t>
  </si>
  <si>
    <t>TOTAL P/L (%)</t>
  </si>
  <si>
    <t>ACTIVE CRYPTOS</t>
  </si>
  <si>
    <t>quote</t>
  </si>
  <si>
    <t>Value.id</t>
  </si>
  <si>
    <t>Value.name</t>
  </si>
  <si>
    <t>Value.symbol</t>
  </si>
  <si>
    <t>Value.cmc_rank</t>
  </si>
  <si>
    <t>Value.quote.USD.price</t>
  </si>
  <si>
    <t>Value.quote.USD.volume_24h</t>
  </si>
  <si>
    <t>Value.quote.USD.percent_change_1h</t>
  </si>
  <si>
    <t>Value.quote.USD.percent_change_24h</t>
  </si>
  <si>
    <t>Value.quote.USD.percent_change_7d</t>
  </si>
  <si>
    <t>Value.quote.USD.market_cap</t>
  </si>
  <si>
    <t>1</t>
  </si>
  <si>
    <t>52</t>
  </si>
  <si>
    <t>512</t>
  </si>
  <si>
    <t>Stellar</t>
  </si>
  <si>
    <t>XLM</t>
  </si>
  <si>
    <t>1027</t>
  </si>
  <si>
    <t>2010</t>
  </si>
  <si>
    <t>2694</t>
  </si>
  <si>
    <t>P/L ($)</t>
  </si>
  <si>
    <t>P/L  %  ($)</t>
  </si>
  <si>
    <t>active_market_pairs</t>
  </si>
  <si>
    <t>active_exchanges</t>
  </si>
  <si>
    <t>eth_dominance</t>
  </si>
  <si>
    <t>btc_dominance</t>
  </si>
  <si>
    <t>Date</t>
  </si>
  <si>
    <t>Price</t>
  </si>
  <si>
    <t>= user input</t>
  </si>
  <si>
    <t>Exchange</t>
  </si>
  <si>
    <t>Binance</t>
  </si>
  <si>
    <t>Notes</t>
  </si>
  <si>
    <t>Hotbit</t>
  </si>
  <si>
    <t>P/L (BTC)</t>
  </si>
  <si>
    <t>total_volume_24h_reported</t>
  </si>
  <si>
    <t>altcoin_volume_24h</t>
  </si>
  <si>
    <t>altcoin_volume_24h_reported</t>
  </si>
  <si>
    <t>altcoin_market_cap</t>
  </si>
  <si>
    <t>Coinbase</t>
  </si>
  <si>
    <t>Account</t>
  </si>
  <si>
    <t>Crypto</t>
  </si>
  <si>
    <t>Value($)</t>
  </si>
  <si>
    <t>Net worth</t>
  </si>
  <si>
    <t>total_cryptocurrencies</t>
  </si>
  <si>
    <t>total_exchanges</t>
  </si>
  <si>
    <t>S</t>
  </si>
  <si>
    <t>S-Stellar.org</t>
  </si>
  <si>
    <t>5692</t>
  </si>
  <si>
    <t>Compound</t>
  </si>
  <si>
    <t>COMP</t>
  </si>
  <si>
    <t>5864</t>
  </si>
  <si>
    <t>yearn.finance</t>
  </si>
  <si>
    <t>YFI</t>
  </si>
  <si>
    <t>Symbol</t>
  </si>
  <si>
    <t>Volume (24h)</t>
  </si>
  <si>
    <t>% Change (1H)</t>
  </si>
  <si>
    <t>Market Cap</t>
  </si>
  <si>
    <t>Value Paid ($)</t>
  </si>
  <si>
    <t>Total Value</t>
  </si>
  <si>
    <t xml:space="preserve">P/L (%) </t>
  </si>
  <si>
    <t>defi_volume_24h</t>
  </si>
  <si>
    <t>defi_volume_24h_reported</t>
  </si>
  <si>
    <t>defi_market_cap</t>
  </si>
  <si>
    <t>defi_24h_percentage_change</t>
  </si>
  <si>
    <t>stablecoin_volume_24h</t>
  </si>
  <si>
    <t>stablecoin_volume_24h_reported</t>
  </si>
  <si>
    <t>stablecoin_market_cap</t>
  </si>
  <si>
    <t>stablecoin_24h_percentage_change</t>
  </si>
  <si>
    <t>derivatives_volume_24h</t>
  </si>
  <si>
    <t>derivatives_volume_24h_reported</t>
  </si>
  <si>
    <t>derivatives_24h_percentage_change</t>
  </si>
  <si>
    <t>Coinbase Pro</t>
  </si>
  <si>
    <t>S &amp; CB Pro</t>
  </si>
  <si>
    <t>Stocks</t>
  </si>
  <si>
    <t>Coin</t>
  </si>
  <si>
    <t>Value Paid</t>
  </si>
  <si>
    <t>Quantity Bought</t>
  </si>
  <si>
    <t>Effective Price ($)</t>
  </si>
  <si>
    <t>TOTAL VOLUME (24H)</t>
  </si>
  <si>
    <t>Unsorted List</t>
  </si>
  <si>
    <t>MC Rank</t>
  </si>
  <si>
    <t>Sorted List</t>
  </si>
  <si>
    <t>P/L  Chart</t>
  </si>
  <si>
    <t>CRYPTO INFO</t>
  </si>
  <si>
    <t>GLOBAL INFO 1</t>
  </si>
  <si>
    <t>GLOBAL INFO 2</t>
  </si>
  <si>
    <t>2021-05-16T19:45:17.999Z</t>
  </si>
  <si>
    <t>Bank 1</t>
  </si>
  <si>
    <t>Bank 2</t>
  </si>
  <si>
    <t>Bank 3</t>
  </si>
  <si>
    <t>Kraken</t>
  </si>
  <si>
    <t>Huobi</t>
  </si>
  <si>
    <t>KuCoin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</si>
</sst>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[$$-409]* #,##0.00_ ;_-[$$-409]* \-#,##0.00\ ;_-[$$-409]* &quot;-&quot;??_ ;_-@_ "/>
    <numFmt numFmtId="166" formatCode="0.00000"/>
    <numFmt numFmtId="167" formatCode="0.000"/>
    <numFmt numFmtId="168" formatCode="_([$$-409]* #,##0_);_([$$-409]* \(#,##0\);_([$$-409]* &quot;-&quot;_);_(@_)"/>
    <numFmt numFmtId="169" formatCode="_([$$-409]* #,##0.00_);_([$$-409]* \(#,##0.00\);_([$$-409]* &quot;-&quot;??_);_(@_)"/>
    <numFmt numFmtId="170" formatCode="0.000000000"/>
    <numFmt numFmtId="171" formatCode="_-[$$-409]* #,##0.0_ ;_-[$$-409]* \-#,##0.0\ ;_-[$$-409]* &quot;-&quot;??_ ;_-@_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sz val="22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b/>
      <sz val="18"/>
      <color theme="4" tint="-0.249977111117893"/>
      <name val="Times New Roman"/>
      <family val="1"/>
    </font>
    <font>
      <b/>
      <sz val="20"/>
      <color theme="4" tint="-0.249977111117893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Times New Roman"/>
      <family val="1"/>
    </font>
    <font>
      <b/>
      <sz val="11"/>
      <color theme="0"/>
      <name val="Times New Roman"/>
      <family val="1"/>
    </font>
    <font>
      <b/>
      <sz val="16"/>
      <color rgb="FFB13939"/>
      <name val="Times New Roman"/>
      <family val="1"/>
    </font>
    <font>
      <b/>
      <sz val="16"/>
      <color theme="4" tint="-0.499984740745262"/>
      <name val="Times New Roman"/>
      <family val="1"/>
    </font>
    <font>
      <sz val="11"/>
      <color theme="4" tint="-0.499984740745262"/>
      <name val="Times New Roman"/>
    </font>
    <font>
      <sz val="11"/>
      <color theme="1"/>
      <name val="Times New Roman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3" borderId="0" xfId="0" quotePrefix="1" applyFont="1" applyFill="1" applyBorder="1" applyAlignment="1">
      <alignment horizontal="center" vertical="center"/>
    </xf>
    <xf numFmtId="0" fontId="3" fillId="3" borderId="2" xfId="0" applyFont="1" applyFill="1" applyBorder="1"/>
    <xf numFmtId="0" fontId="3" fillId="3" borderId="0" xfId="0" applyFont="1" applyFill="1" applyBorder="1"/>
    <xf numFmtId="0" fontId="3" fillId="4" borderId="6" xfId="0" applyFont="1" applyFill="1" applyBorder="1"/>
    <xf numFmtId="0" fontId="4" fillId="4" borderId="7" xfId="0" applyFont="1" applyFill="1" applyBorder="1"/>
    <xf numFmtId="0" fontId="3" fillId="4" borderId="7" xfId="0" applyFont="1" applyFill="1" applyBorder="1"/>
    <xf numFmtId="165" fontId="5" fillId="4" borderId="7" xfId="0" applyNumberFormat="1" applyFont="1" applyFill="1" applyBorder="1" applyAlignment="1">
      <alignment horizontal="center"/>
    </xf>
    <xf numFmtId="170" fontId="5" fillId="4" borderId="7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3" fillId="4" borderId="8" xfId="0" applyFont="1" applyFill="1" applyBorder="1"/>
    <xf numFmtId="0" fontId="3" fillId="4" borderId="11" xfId="0" applyFont="1" applyFill="1" applyBorder="1"/>
    <xf numFmtId="0" fontId="6" fillId="4" borderId="0" xfId="0" applyFont="1" applyFill="1" applyBorder="1"/>
    <xf numFmtId="0" fontId="3" fillId="4" borderId="0" xfId="0" applyFont="1" applyFill="1" applyBorder="1"/>
    <xf numFmtId="43" fontId="7" fillId="4" borderId="0" xfId="1" applyNumberFormat="1" applyFont="1" applyFill="1" applyBorder="1" applyAlignment="1" applyProtection="1"/>
    <xf numFmtId="0" fontId="3" fillId="4" borderId="12" xfId="0" applyFont="1" applyFill="1" applyBorder="1"/>
    <xf numFmtId="0" fontId="4" fillId="4" borderId="0" xfId="0" applyFont="1" applyFill="1" applyBorder="1"/>
    <xf numFmtId="0" fontId="8" fillId="4" borderId="0" xfId="0" applyFont="1" applyFill="1" applyBorder="1"/>
    <xf numFmtId="43" fontId="5" fillId="4" borderId="0" xfId="1" applyNumberFormat="1" applyFont="1" applyFill="1" applyBorder="1" applyAlignment="1" applyProtection="1">
      <alignment horizontal="center"/>
    </xf>
    <xf numFmtId="165" fontId="7" fillId="4" borderId="0" xfId="1" applyNumberFormat="1" applyFont="1" applyFill="1" applyBorder="1" applyAlignment="1" applyProtection="1">
      <alignment horizontal="left"/>
    </xf>
    <xf numFmtId="0" fontId="9" fillId="4" borderId="0" xfId="0" applyFont="1" applyFill="1" applyBorder="1"/>
    <xf numFmtId="10" fontId="5" fillId="4" borderId="0" xfId="0" applyNumberFormat="1" applyFont="1" applyFill="1" applyBorder="1" applyAlignment="1">
      <alignment horizontal="center"/>
    </xf>
    <xf numFmtId="0" fontId="3" fillId="4" borderId="9" xfId="0" applyFont="1" applyFill="1" applyBorder="1"/>
    <xf numFmtId="0" fontId="4" fillId="4" borderId="1" xfId="0" applyFont="1" applyFill="1" applyBorder="1"/>
    <xf numFmtId="0" fontId="3" fillId="4" borderId="1" xfId="0" applyFont="1" applyFill="1" applyBorder="1"/>
    <xf numFmtId="10" fontId="5" fillId="4" borderId="1" xfId="2" applyNumberFormat="1" applyFont="1" applyFill="1" applyBorder="1" applyAlignment="1">
      <alignment horizontal="center"/>
    </xf>
    <xf numFmtId="168" fontId="5" fillId="4" borderId="1" xfId="1" applyNumberFormat="1" applyFont="1" applyFill="1" applyBorder="1" applyAlignment="1" applyProtection="1">
      <alignment horizontal="center"/>
    </xf>
    <xf numFmtId="43" fontId="7" fillId="4" borderId="1" xfId="1" applyNumberFormat="1" applyFont="1" applyFill="1" applyBorder="1" applyAlignment="1" applyProtection="1"/>
    <xf numFmtId="165" fontId="7" fillId="4" borderId="1" xfId="1" applyNumberFormat="1" applyFont="1" applyFill="1" applyBorder="1" applyAlignment="1" applyProtection="1">
      <alignment horizontal="left"/>
    </xf>
    <xf numFmtId="0" fontId="9" fillId="4" borderId="1" xfId="0" applyFont="1" applyFill="1" applyBorder="1"/>
    <xf numFmtId="0" fontId="5" fillId="4" borderId="1" xfId="0" applyNumberFormat="1" applyFont="1" applyFill="1" applyBorder="1" applyAlignment="1">
      <alignment horizontal="center"/>
    </xf>
    <xf numFmtId="0" fontId="3" fillId="4" borderId="10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10" fillId="5" borderId="11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10" fillId="5" borderId="12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1" fillId="4" borderId="7" xfId="0" applyFont="1" applyFill="1" applyBorder="1"/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167" fontId="10" fillId="3" borderId="7" xfId="0" applyNumberFormat="1" applyFont="1" applyFill="1" applyBorder="1" applyAlignment="1">
      <alignment horizontal="center" vertical="center"/>
    </xf>
    <xf numFmtId="166" fontId="10" fillId="3" borderId="7" xfId="0" applyNumberFormat="1" applyFont="1" applyFill="1" applyBorder="1" applyAlignment="1">
      <alignment horizontal="center" vertical="center"/>
    </xf>
    <xf numFmtId="167" fontId="10" fillId="2" borderId="7" xfId="0" applyNumberFormat="1" applyFont="1" applyFill="1" applyBorder="1" applyAlignment="1">
      <alignment horizontal="center" vertical="center"/>
    </xf>
    <xf numFmtId="2" fontId="10" fillId="3" borderId="7" xfId="0" applyNumberFormat="1" applyFont="1" applyFill="1" applyBorder="1" applyAlignment="1">
      <alignment horizontal="center" vertical="center"/>
    </xf>
    <xf numFmtId="10" fontId="10" fillId="3" borderId="7" xfId="2" applyNumberFormat="1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67" fontId="10" fillId="3" borderId="0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Border="1" applyAlignment="1">
      <alignment horizontal="center" vertical="center"/>
    </xf>
    <xf numFmtId="167" fontId="10" fillId="2" borderId="0" xfId="0" applyNumberFormat="1" applyFont="1" applyFill="1" applyBorder="1" applyAlignment="1">
      <alignment horizontal="center" vertical="center"/>
    </xf>
    <xf numFmtId="2" fontId="10" fillId="3" borderId="0" xfId="0" applyNumberFormat="1" applyFont="1" applyFill="1" applyBorder="1" applyAlignment="1">
      <alignment horizontal="center" vertical="center"/>
    </xf>
    <xf numFmtId="10" fontId="10" fillId="3" borderId="0" xfId="2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171" fontId="5" fillId="4" borderId="0" xfId="1" applyNumberFormat="1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2" fontId="10" fillId="2" borderId="4" xfId="0" applyNumberFormat="1" applyFont="1" applyFill="1" applyBorder="1" applyAlignment="1">
      <alignment horizontal="center" vertical="center"/>
    </xf>
    <xf numFmtId="167" fontId="10" fillId="2" borderId="4" xfId="0" applyNumberFormat="1" applyFont="1" applyFill="1" applyBorder="1" applyAlignment="1">
      <alignment horizontal="center" vertical="center"/>
    </xf>
    <xf numFmtId="166" fontId="10" fillId="2" borderId="4" xfId="0" applyNumberFormat="1" applyFont="1" applyFill="1" applyBorder="1" applyAlignment="1">
      <alignment horizontal="center" vertical="center"/>
    </xf>
    <xf numFmtId="10" fontId="10" fillId="2" borderId="4" xfId="2" applyNumberFormat="1" applyFont="1" applyFill="1" applyBorder="1" applyAlignment="1">
      <alignment horizontal="center" vertical="center"/>
    </xf>
    <xf numFmtId="0" fontId="3" fillId="0" borderId="0" xfId="0" applyFont="1"/>
    <xf numFmtId="0" fontId="3" fillId="7" borderId="0" xfId="0" applyFont="1" applyFill="1" applyAlignment="1">
      <alignment horizontal="center" vertical="center"/>
    </xf>
    <xf numFmtId="167" fontId="3" fillId="0" borderId="0" xfId="0" applyNumberFormat="1" applyFont="1"/>
    <xf numFmtId="0" fontId="3" fillId="0" borderId="0" xfId="0" applyFont="1" applyAlignment="1">
      <alignment horizontal="center" vertical="center"/>
    </xf>
    <xf numFmtId="167" fontId="3" fillId="7" borderId="0" xfId="0" applyNumberFormat="1" applyFont="1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0" borderId="0" xfId="0" applyNumberFormat="1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  <xf numFmtId="14" fontId="3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9" fontId="3" fillId="0" borderId="0" xfId="0" applyNumberFormat="1" applyFont="1" applyAlignment="1">
      <alignment horizontal="center" vertical="center"/>
    </xf>
    <xf numFmtId="169" fontId="3" fillId="0" borderId="0" xfId="1" applyNumberFormat="1" applyFont="1" applyAlignment="1">
      <alignment horizontal="center" vertical="center"/>
    </xf>
    <xf numFmtId="169" fontId="7" fillId="9" borderId="0" xfId="1" applyNumberFormat="1" applyFont="1" applyFill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12" fillId="8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99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4"/>
      </font>
    </dxf>
    <dxf>
      <font>
        <sz val="12"/>
      </font>
    </dxf>
    <dxf>
      <font>
        <sz val="11"/>
      </font>
    </dxf>
    <dxf>
      <font>
        <sz val="10"/>
      </font>
    </dxf>
    <dxf>
      <font>
        <sz val="14"/>
      </font>
    </dxf>
    <dxf>
      <font>
        <sz val="12"/>
      </font>
    </dxf>
    <dxf>
      <font>
        <sz val="11"/>
      </font>
    </dxf>
    <dxf>
      <font>
        <sz val="10"/>
      </font>
    </dxf>
    <dxf>
      <font>
        <b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0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numFmt numFmtId="172" formatCode="0.00000000"/>
    </dxf>
    <dxf>
      <numFmt numFmtId="170" formatCode="0.000000000"/>
    </dxf>
    <dxf>
      <numFmt numFmtId="173" formatCode="0.0000000000"/>
    </dxf>
    <dxf>
      <numFmt numFmtId="170" formatCode="0.000000000"/>
    </dxf>
    <dxf>
      <numFmt numFmtId="172" formatCode="0.00000000"/>
    </dxf>
    <dxf>
      <numFmt numFmtId="174" formatCode="0.0000000"/>
    </dxf>
    <dxf>
      <numFmt numFmtId="175" formatCode="0.000000"/>
    </dxf>
    <dxf>
      <numFmt numFmtId="166" formatCode="0.00000"/>
    </dxf>
    <dxf>
      <numFmt numFmtId="176" formatCode="0.0000"/>
    </dxf>
    <dxf>
      <numFmt numFmtId="167" formatCode="0.00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4" tint="-0.499984740745262"/>
      </font>
    </dxf>
    <dxf>
      <font>
        <color theme="4" tint="-0.499984740745262"/>
      </font>
    </dxf>
    <dxf>
      <font>
        <sz val="11"/>
      </font>
    </dxf>
    <dxf>
      <font>
        <sz val="11"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color theme="4" tint="-0.499984740745262"/>
      </font>
    </dxf>
    <dxf>
      <font>
        <color theme="4" tint="-0.49998474074526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numFmt numFmtId="167" formatCode="0.000"/>
    </dxf>
    <dxf>
      <numFmt numFmtId="176" formatCode="0.0000"/>
    </dxf>
    <dxf>
      <numFmt numFmtId="166" formatCode="0.00000"/>
    </dxf>
    <dxf>
      <numFmt numFmtId="175" formatCode="0.000000"/>
    </dxf>
    <dxf>
      <numFmt numFmtId="174" formatCode="0.0000000"/>
    </dxf>
    <dxf>
      <numFmt numFmtId="172" formatCode="0.00000000"/>
    </dxf>
    <dxf>
      <numFmt numFmtId="170" formatCode="0.000000000"/>
    </dxf>
    <dxf>
      <numFmt numFmtId="173" formatCode="0.0000000000"/>
    </dxf>
    <dxf>
      <numFmt numFmtId="170" formatCode="0.000000000"/>
    </dxf>
    <dxf>
      <numFmt numFmtId="172" formatCode="0.00000000"/>
    </dxf>
    <dxf>
      <font>
        <b/>
        <sz val="10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0"/>
      </font>
    </dxf>
    <dxf>
      <font>
        <sz val="11"/>
      </font>
    </dxf>
    <dxf>
      <font>
        <sz val="12"/>
      </font>
    </dxf>
    <dxf>
      <font>
        <sz val="14"/>
      </font>
    </dxf>
    <dxf>
      <font>
        <sz val="10"/>
      </font>
    </dxf>
    <dxf>
      <font>
        <sz val="11"/>
      </font>
    </dxf>
    <dxf>
      <font>
        <sz val="12"/>
      </font>
    </dxf>
    <dxf>
      <font>
        <sz val="14"/>
      </font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35555"/>
      <color rgb="FFD20000"/>
      <color rgb="FFFF0066"/>
      <color rgb="FFB1393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Asset</a:t>
            </a:r>
            <a:r>
              <a:rPr lang="en-GB" sz="2400" baseline="0"/>
              <a:t> Allocation</a:t>
            </a:r>
          </a:p>
        </c:rich>
      </c:tx>
      <c:layout>
        <c:manualLayout>
          <c:xMode val="edge"/>
          <c:yMode val="edge"/>
          <c:x val="0.74537273774721913"/>
          <c:y val="1.5430474549361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7351587847750225E-3"/>
          <c:y val="9.7715849855677744E-2"/>
          <c:w val="0.94790756480180638"/>
          <c:h val="0.901061650061440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B97D-40F9-86B8-E5BD4EF5C6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B97D-40F9-86B8-E5BD4EF5C6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B97D-40F9-86B8-E5BD4EF5C6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B97D-40F9-86B8-E5BD4EF5C6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B97D-40F9-86B8-E5BD4EF5C65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B97D-40F9-86B8-E5BD4EF5C65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B97D-40F9-86B8-E5BD4EF5C65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B97D-40F9-86B8-E5BD4EF5C65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'Crypto Portfolio'!$B$11:$B$18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'Crypto Portfolio'!$O$11:$O$18</c:f>
              <c:numCache>
                <c:formatCode>0.00%</c:formatCode>
                <c:ptCount val="8"/>
                <c:pt idx="0">
                  <c:v>0.42808880075013267</c:v>
                </c:pt>
                <c:pt idx="1">
                  <c:v>0.3314219953119702</c:v>
                </c:pt>
                <c:pt idx="2">
                  <c:v>0.11019592313491461</c:v>
                </c:pt>
                <c:pt idx="3">
                  <c:v>8.8561677102384065E-2</c:v>
                </c:pt>
                <c:pt idx="4">
                  <c:v>1.3471032923889053E-2</c:v>
                </c:pt>
                <c:pt idx="5">
                  <c:v>1.3466300732799722E-2</c:v>
                </c:pt>
                <c:pt idx="6">
                  <c:v>8.7194725504686141E-3</c:v>
                </c:pt>
                <c:pt idx="7">
                  <c:v>6.0747974934409095E-3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97D-40F9-86B8-E5BD4EF5C65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961425624116717"/>
          <c:y val="0.37366564582083289"/>
          <c:w val="0.10687205044612953"/>
          <c:h val="0.58881046603982334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2800"/>
              <a:t>Profit/Loss</a:t>
            </a:r>
            <a:r>
              <a:rPr lang="en-GB" sz="2800" baseline="0"/>
              <a:t> % by Coin</a:t>
            </a:r>
            <a:endParaRPr lang="en-GB" sz="2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94630114520075"/>
          <c:y val="5.993910041967191E-2"/>
          <c:w val="0.86802978654039309"/>
          <c:h val="0.8413180928078508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Database!$B$30:$B$37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Database!$C$30:$C$37</c:f>
              <c:numCache>
                <c:formatCode>General</c:formatCode>
                <c:ptCount val="8"/>
                <c:pt idx="0">
                  <c:v>148.1215250930031</c:v>
                </c:pt>
                <c:pt idx="1">
                  <c:v>94.840060286099188</c:v>
                </c:pt>
                <c:pt idx="2">
                  <c:v>128.86127177680916</c:v>
                </c:pt>
                <c:pt idx="3">
                  <c:v>133.0182304364929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86.507785125691768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D-40CE-8954-00A0DA1D6485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Database!$B$30:$B$37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Database!$D$30:$D$37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-14.649070796546271</c:v>
                </c:pt>
                <c:pt idx="5">
                  <c:v>-60.246064450601146</c:v>
                </c:pt>
                <c:pt idx="6">
                  <c:v>-22.53926017698225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3D-45CD-AEBD-C04AEA89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293744"/>
        <c:axId val="703291776"/>
      </c:barChart>
      <c:catAx>
        <c:axId val="70329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91776"/>
        <c:crosses val="autoZero"/>
        <c:auto val="1"/>
        <c:lblAlgn val="ctr"/>
        <c:lblOffset val="100"/>
        <c:noMultiLvlLbl val="0"/>
      </c:catAx>
      <c:valAx>
        <c:axId val="70329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_ ;\-0.0\ " sourceLinked="0"/>
        <c:majorTickMark val="none"/>
        <c:minorTickMark val="none"/>
        <c:tickLblPos val="nextTo"/>
        <c:spPr>
          <a:noFill/>
          <a:ln>
            <a:solidFill>
              <a:schemeClr val="accent1">
                <a:alpha val="97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9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376669</xdr:colOff>
      <xdr:row>46</xdr:row>
      <xdr:rowOff>34636</xdr:rowOff>
    </xdr:from>
    <xdr:to>
      <xdr:col>17</xdr:col>
      <xdr:colOff>415636</xdr:colOff>
      <xdr:row>69</xdr:row>
      <xdr:rowOff>225136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C4494E-4446-407B-ACC0-E51A63462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368014</xdr:colOff>
      <xdr:row>20</xdr:row>
      <xdr:rowOff>303577</xdr:rowOff>
    </xdr:from>
    <xdr:to>
      <xdr:col>17</xdr:col>
      <xdr:colOff>398320</xdr:colOff>
      <xdr:row>44</xdr:row>
      <xdr:rowOff>225137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0DBAAC-06AE-4F80-AE6C-7E5878C31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426836</xdr:colOff>
      <xdr:row>3</xdr:row>
      <xdr:rowOff>251695</xdr:rowOff>
    </xdr:from>
    <xdr:to>
      <xdr:col>20</xdr:col>
      <xdr:colOff>992188</xdr:colOff>
      <xdr:row>7</xdr:row>
      <xdr:rowOff>99217</xdr:rowOff>
    </xdr:to>
    <xdr:sp macro="[0]!RefreshEverything" textlink="">
      <xdr:nvSpPr>
        <xdr:cNvPr id="4" name="Rounded Rectangle 3"/>
        <xdr:cNvSpPr/>
      </xdr:nvSpPr>
      <xdr:spPr>
        <a:xfrm>
          <a:off x="25489492" y="1174429"/>
          <a:ext cx="1686524" cy="1077835"/>
        </a:xfrm>
        <a:prstGeom prst="roundRect">
          <a:avLst/>
        </a:prstGeom>
        <a:gradFill flip="none" rotWithShape="1">
          <a:gsLst>
            <a:gs pos="0">
              <a:srgbClr val="C35555">
                <a:shade val="30000"/>
                <a:satMod val="115000"/>
              </a:srgbClr>
            </a:gs>
            <a:gs pos="50000">
              <a:srgbClr val="C35555">
                <a:shade val="67500"/>
                <a:satMod val="115000"/>
              </a:srgbClr>
            </a:gs>
            <a:gs pos="100000">
              <a:srgbClr val="C35555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REFRESH</a:t>
          </a:r>
          <a:endParaRPr lang="en-GB" sz="2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hor" refreshedDate="44340.907354976851" createdVersion="6" refreshedVersion="6" minRefreshableVersion="3" recordCount="39">
  <cacheSource type="worksheet">
    <worksheetSource ref="A1:G1048576" sheet="Trade History"/>
  </cacheSource>
  <cacheFields count="8">
    <cacheField name="Date" numFmtId="14">
      <sharedItems containsNonDate="0" containsDate="1" containsString="0" containsBlank="1" minDate="2020-08-15T00:00:00" maxDate="2020-09-16T00:00:00"/>
    </cacheField>
    <cacheField name="Coin" numFmtId="0">
      <sharedItems containsBlank="1" count="13">
        <s v="ADA"/>
        <s v="NEXO"/>
        <s v="ETH"/>
        <s v="XRP"/>
        <s v="XLM"/>
        <s v="BTC"/>
        <s v="YFI"/>
        <s v="COMP"/>
        <m/>
        <s v="LINK" u="1"/>
        <s v="ALGO" u="1"/>
        <s v="ONT" u="1"/>
        <s v="XTZ" u="1"/>
      </sharedItems>
    </cacheField>
    <cacheField name="Quantity" numFmtId="0">
      <sharedItems containsString="0" containsBlank="1" containsNumber="1" minValue="5.0000000000000002E-5" maxValue="347.95"/>
    </cacheField>
    <cacheField name="Price" numFmtId="0">
      <sharedItems containsString="0" containsBlank="1" containsNumber="1" minValue="0.06" maxValue="80000"/>
    </cacheField>
    <cacheField name="Value Paid" numFmtId="0">
      <sharedItems containsString="0" containsBlank="1" containsNumber="1" minValue="0.5" maxValue="347.95"/>
    </cacheField>
    <cacheField name="Exchange" numFmtId="0">
      <sharedItems containsBlank="1"/>
    </cacheField>
    <cacheField name="Notes" numFmtId="0">
      <sharedItems containsBlank="1"/>
    </cacheField>
    <cacheField name="Effective Price" numFmtId="0" formula="'Value Paid'/Quantity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d v="2020-08-15T00:00:00"/>
    <x v="0"/>
    <n v="23.57"/>
    <n v="6.7053000000000001E-2"/>
    <n v="1.58043921"/>
    <s v="Binance"/>
    <m/>
  </r>
  <r>
    <d v="2020-08-16T00:00:00"/>
    <x v="1"/>
    <n v="9"/>
    <n v="0.06"/>
    <n v="0.54"/>
    <s v="Hotbit"/>
    <m/>
  </r>
  <r>
    <d v="2020-08-17T00:00:00"/>
    <x v="0"/>
    <n v="18"/>
    <n v="8.6527999999999994E-2"/>
    <n v="1.5575039999999998"/>
    <s v="Binance"/>
    <m/>
  </r>
  <r>
    <d v="2020-08-18T00:00:00"/>
    <x v="1"/>
    <n v="14"/>
    <n v="0.10199999999999999"/>
    <n v="1.4279999999999999"/>
    <s v="Hotbit"/>
    <m/>
  </r>
  <r>
    <d v="2020-08-19T00:00:00"/>
    <x v="0"/>
    <n v="13.48"/>
    <n v="8.4530999999999995E-2"/>
    <n v="1.1394778800000001"/>
    <s v="KuCoin"/>
    <m/>
  </r>
  <r>
    <d v="2020-08-20T00:00:00"/>
    <x v="1"/>
    <n v="19.754799999999999"/>
    <n v="1"/>
    <n v="19.754799999999999"/>
    <s v="Hotbit"/>
    <m/>
  </r>
  <r>
    <d v="2020-08-21T00:00:00"/>
    <x v="1"/>
    <n v="13"/>
    <n v="2"/>
    <n v="26"/>
    <s v="Kraken"/>
    <m/>
  </r>
  <r>
    <d v="2020-08-22T00:00:00"/>
    <x v="1"/>
    <n v="18.125999999999998"/>
    <n v="3"/>
    <n v="54.377999999999993"/>
    <s v="Hotbit"/>
    <m/>
  </r>
  <r>
    <d v="2020-08-23T00:00:00"/>
    <x v="0"/>
    <n v="30"/>
    <n v="7.3999999999999996E-2"/>
    <n v="2.2199999999999998"/>
    <s v="KuCoin"/>
    <m/>
  </r>
  <r>
    <d v="2020-08-24T00:00:00"/>
    <x v="2"/>
    <n v="0.16300000000000001"/>
    <n v="2000"/>
    <n v="326"/>
    <s v="Binance"/>
    <s v="Cumulative"/>
  </r>
  <r>
    <d v="2020-08-25T00:00:00"/>
    <x v="3"/>
    <n v="26"/>
    <n v="3.5"/>
    <n v="91"/>
    <s v="Huobi"/>
    <m/>
  </r>
  <r>
    <d v="2020-08-26T00:00:00"/>
    <x v="4"/>
    <n v="53"/>
    <n v="0.8"/>
    <n v="42.400000000000006"/>
    <s v="Binance"/>
    <m/>
  </r>
  <r>
    <d v="2020-08-27T00:00:00"/>
    <x v="0"/>
    <n v="347.95"/>
    <n v="1"/>
    <n v="347.95"/>
    <s v="KuCoin"/>
    <m/>
  </r>
  <r>
    <d v="2020-08-28T00:00:00"/>
    <x v="5"/>
    <n v="5.0000000000000002E-5"/>
    <n v="10000"/>
    <n v="0.5"/>
    <s v="Kraken"/>
    <m/>
  </r>
  <r>
    <d v="2020-08-29T00:00:00"/>
    <x v="5"/>
    <n v="2.9999999999999997E-4"/>
    <n v="10000"/>
    <n v="2.9999999999999996"/>
    <s v="Coinbase"/>
    <m/>
  </r>
  <r>
    <d v="2020-08-30T00:00:00"/>
    <x v="2"/>
    <n v="1.8000000000000002E-2"/>
    <n v="2000"/>
    <n v="36.000000000000007"/>
    <s v="Huobi"/>
    <m/>
  </r>
  <r>
    <d v="2020-08-31T00:00:00"/>
    <x v="5"/>
    <n v="5.0000000000000001E-4"/>
    <n v="8700"/>
    <n v="4.3500000000000005"/>
    <s v="Kraken"/>
    <m/>
  </r>
  <r>
    <d v="2020-09-01T00:00:00"/>
    <x v="2"/>
    <n v="2.2000000000000002E-2"/>
    <n v="189"/>
    <n v="4.1580000000000004"/>
    <s v="Coinbase"/>
    <m/>
  </r>
  <r>
    <d v="2020-09-02T00:00:00"/>
    <x v="5"/>
    <n v="5.0000000000000001E-4"/>
    <n v="9000"/>
    <n v="4.5"/>
    <s v="Huobi"/>
    <m/>
  </r>
  <r>
    <d v="2020-09-03T00:00:00"/>
    <x v="2"/>
    <n v="2.2000000000000002E-2"/>
    <n v="200"/>
    <n v="4.4000000000000004"/>
    <s v="Coinbase"/>
    <m/>
  </r>
  <r>
    <d v="2020-09-04T00:00:00"/>
    <x v="5"/>
    <n v="1E-3"/>
    <n v="9600"/>
    <n v="9.6"/>
    <s v="Huobi"/>
    <m/>
  </r>
  <r>
    <d v="2020-09-05T00:00:00"/>
    <x v="2"/>
    <n v="3.6000000000000004E-2"/>
    <n v="2400"/>
    <n v="86.4"/>
    <s v="Coinbase"/>
    <m/>
  </r>
  <r>
    <d v="2020-09-06T00:00:00"/>
    <x v="5"/>
    <n v="8.0000000000000004E-4"/>
    <n v="11000"/>
    <n v="8.8000000000000007"/>
    <s v="Huobi"/>
    <m/>
  </r>
  <r>
    <d v="2020-09-07T00:00:00"/>
    <x v="0"/>
    <n v="50"/>
    <n v="2"/>
    <n v="100"/>
    <s v="KuCoin"/>
    <m/>
  </r>
  <r>
    <d v="2020-09-08T00:00:00"/>
    <x v="0"/>
    <n v="67"/>
    <n v="0.13500000000000001"/>
    <n v="9.0449999999999999"/>
    <s v="Binance"/>
    <m/>
  </r>
  <r>
    <d v="2020-09-09T00:00:00"/>
    <x v="6"/>
    <n v="3.7800000000000003E-4"/>
    <n v="80000"/>
    <n v="30.240000000000002"/>
    <s v="KuCoin"/>
    <m/>
  </r>
  <r>
    <d v="2020-09-10T00:00:00"/>
    <x v="7"/>
    <n v="2.5000000000000001E-2"/>
    <n v="350"/>
    <n v="8.75"/>
    <s v="Coinbase"/>
    <m/>
  </r>
  <r>
    <d v="2020-09-11T00:00:00"/>
    <x v="5"/>
    <n v="1.1000000000000001E-3"/>
    <n v="20000"/>
    <n v="22"/>
    <s v="Huobi"/>
    <m/>
  </r>
  <r>
    <d v="2020-09-12T00:00:00"/>
    <x v="5"/>
    <n v="8.9999999999999998E-4"/>
    <n v="30000"/>
    <n v="27"/>
    <s v="Kraken"/>
    <m/>
  </r>
  <r>
    <d v="2020-09-13T00:00:00"/>
    <x v="5"/>
    <n v="5.0000000000000001E-4"/>
    <n v="35000"/>
    <n v="17.5"/>
    <s v="Coinbase Pro"/>
    <m/>
  </r>
  <r>
    <d v="2020-09-14T00:00:00"/>
    <x v="5"/>
    <n v="5.9999999999999995E-4"/>
    <n v="31000"/>
    <n v="18.599999999999998"/>
    <s v="Huobi"/>
    <m/>
  </r>
  <r>
    <d v="2020-09-15T00:00:00"/>
    <x v="5"/>
    <n v="2.9999999999999997E-4"/>
    <n v="45000"/>
    <n v="13.499999999999998"/>
    <s v="Kraken"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Coin">
  <location ref="K10:N18" firstHeaderRow="0" firstDataRow="1" firstDataCol="1"/>
  <pivotFields count="8">
    <pivotField showAll="0"/>
    <pivotField axis="axisRow" showAll="0">
      <items count="14">
        <item x="0"/>
        <item x="5"/>
        <item x="2"/>
        <item h="1" x="8"/>
        <item x="3"/>
        <item m="1" x="11"/>
        <item x="1"/>
        <item x="4"/>
        <item m="1" x="12"/>
        <item m="1" x="10"/>
        <item m="1" x="9"/>
        <item x="7"/>
        <item x="6"/>
        <item t="default"/>
      </items>
    </pivotField>
    <pivotField dataField="1" showAll="0"/>
    <pivotField showAll="0"/>
    <pivotField dataField="1" showAll="0"/>
    <pivotField showAll="0"/>
    <pivotField showAll="0"/>
    <pivotField dataField="1"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4"/>
    </i>
    <i>
      <x v="6"/>
    </i>
    <i>
      <x v="7"/>
    </i>
    <i>
      <x v="11"/>
    </i>
    <i>
      <x v="12"/>
    </i>
  </rowItems>
  <colFields count="1">
    <field x="-2"/>
  </colFields>
  <colItems count="3">
    <i>
      <x/>
    </i>
    <i i="1">
      <x v="1"/>
    </i>
    <i i="2">
      <x v="2"/>
    </i>
  </colItems>
  <dataFields count="3">
    <dataField name="Quantity Bought" fld="2" baseField="1" baseItem="0"/>
    <dataField name="Value Paid ($)" fld="4" baseField="1" baseItem="0"/>
    <dataField name="Effective Price ($)" fld="7" baseField="1" baseItem="0" numFmtId="167"/>
  </dataFields>
  <formats count="79">
    <format dxfId="157">
      <pivotArea field="1" type="button" dataOnly="0" labelOnly="1" outline="0" axis="axisRow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field="1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3">
      <pivotArea field="1" type="button" dataOnly="0" labelOnly="1" outline="0" axis="axisRow" fieldPosition="0"/>
    </format>
    <format dxfId="1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1">
      <pivotArea field="1" type="button" dataOnly="0" labelOnly="1" outline="0" axis="axisRow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field="1" type="button" dataOnly="0" labelOnly="1" outline="0" axis="axisRow" fieldPosition="0"/>
    </format>
    <format dxfId="1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5">
      <pivotArea grandRow="1" outline="0" collapsedLevelsAreSubtotals="1" fieldPosition="0"/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5">
      <pivotArea field="1" type="button" dataOnly="0" labelOnly="1" outline="0" axis="axisRow" fieldPosition="0"/>
    </format>
    <format dxfId="13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3">
      <pivotArea field="1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field="1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field="1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field="1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" type="button" dataOnly="0" labelOnly="1" outline="0" axis="axisRow" fieldPosition="0"/>
    </format>
    <format dxfId="112">
      <pivotArea dataOnly="0" labelOnly="1" fieldPosition="0">
        <references count="1">
          <reference field="1" count="0"/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1" type="button" dataOnly="0" labelOnly="1" outline="0" axis="axisRow" fieldPosition="0"/>
    </format>
    <format dxfId="107">
      <pivotArea dataOnly="0" labelOnly="1" fieldPosition="0">
        <references count="1">
          <reference field="1" count="0"/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1" type="button" dataOnly="0" labelOnly="1" outline="0" axis="axisRow" fieldPosition="0"/>
    </format>
    <format dxfId="102">
      <pivotArea dataOnly="0" labelOnly="1" fieldPosition="0">
        <references count="1">
          <reference field="1" count="0"/>
        </references>
      </pivotArea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" type="button" dataOnly="0" labelOnly="1" outline="0" axis="axisRow" fieldPosition="0"/>
    </format>
    <format dxfId="97">
      <pivotArea dataOnly="0" labelOnly="1" fieldPosition="0">
        <references count="1">
          <reference field="1" count="0"/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1" type="button" dataOnly="0" labelOnly="1" outline="0" axis="axisRow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1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1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field="1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field="1" type="button" dataOnly="0" labelOnly="1" outline="0" axis="axisRow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field="1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1" type="button" dataOnly="0" labelOnly="1" outline="0" axis="axisRow" fieldPosition="0"/>
    </format>
    <format dxfId="80">
      <pivotArea dataOnly="0" labelOnly="1" fieldPosition="0">
        <references count="1">
          <reference field="1" count="0"/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3" refreshOnLoad="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4" refreshOnLoad="1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name="ExternalData_5" refreshOnLoad="1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Name" tableColumnId="1"/>
      <queryTableField id="2" name="Value.id" tableColumnId="2"/>
      <queryTableField id="3" name="Value.name" tableColumnId="3"/>
      <queryTableField id="4" name="Value.symbol" tableColumnId="4"/>
      <queryTableField id="5" name="Value.cmc_rank" tableColumnId="5"/>
      <queryTableField id="6" name="Value.quote.USD.price" tableColumnId="6"/>
      <queryTableField id="7" name="Value.quote.USD.volume_24h" tableColumnId="7"/>
      <queryTableField id="8" name="Value.quote.USD.percent_change_1h" tableColumnId="8"/>
      <queryTableField id="9" name="Value.quote.USD.percent_change_24h" tableColumnId="9"/>
      <queryTableField id="10" name="Value.quote.USD.percent_change_7d" tableColumnId="10"/>
      <queryTableField id="11" name="Value.quote.USD.market_cap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3" name="GLOBAL_1" displayName="GLOBAL_1" ref="B4:C24" tableType="queryTable" totalsRowShown="0" headerRowDxfId="178" dataDxfId="177">
  <autoFilter ref="B4:C24"/>
  <tableColumns count="2">
    <tableColumn id="1" uniqueName="1" name="Name" queryTableFieldId="1" dataDxfId="176"/>
    <tableColumn id="2" uniqueName="2" name="Value" queryTableFieldId="2" dataDxfId="17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4" name="GLOBAL_2" displayName="GLOBAL_2" ref="G4:H11" tableType="queryTable" totalsRowShown="0" headerRowDxfId="174" dataDxfId="173">
  <autoFilter ref="G4:H11"/>
  <tableColumns count="2">
    <tableColumn id="1" uniqueName="1" name="Name" queryTableFieldId="1" dataDxfId="172"/>
    <tableColumn id="2" uniqueName="2" name="Value" queryTableFieldId="2" dataDxfId="17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ALL_DATA" displayName="ALL_DATA" ref="B32:L40" tableType="queryTable" totalsRowShown="0" headerRowDxfId="170" dataDxfId="169">
  <autoFilter ref="B32:L40"/>
  <tableColumns count="11">
    <tableColumn id="1" uniqueName="1" name="Name" queryTableFieldId="1" dataDxfId="168"/>
    <tableColumn id="2" uniqueName="2" name="Value.id" queryTableFieldId="2" dataDxfId="167"/>
    <tableColumn id="3" uniqueName="3" name="Value.name" queryTableFieldId="3" dataDxfId="166"/>
    <tableColumn id="4" uniqueName="4" name="Value.symbol" queryTableFieldId="4" dataDxfId="165"/>
    <tableColumn id="5" uniqueName="5" name="Value.cmc_rank" queryTableFieldId="5" dataDxfId="164"/>
    <tableColumn id="6" uniqueName="6" name="Value.quote.USD.price" queryTableFieldId="6" dataDxfId="163"/>
    <tableColumn id="7" uniqueName="7" name="Value.quote.USD.volume_24h" queryTableFieldId="7" dataDxfId="162"/>
    <tableColumn id="8" uniqueName="8" name="Value.quote.USD.percent_change_1h" queryTableFieldId="8" dataDxfId="161"/>
    <tableColumn id="9" uniqueName="9" name="Value.quote.USD.percent_change_24h" queryTableFieldId="9" dataDxfId="160"/>
    <tableColumn id="10" uniqueName="10" name="Value.quote.USD.percent_change_7d" queryTableFieldId="10" dataDxfId="159"/>
    <tableColumn id="11" uniqueName="11" name="Value.quote.USD.market_cap" queryTableFieldId="11" dataDxfId="15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20"/>
  <sheetViews>
    <sheetView tabSelected="1" zoomScale="55" zoomScaleNormal="61" workbookViewId="0">
      <selection activeCell="T22" sqref="T22"/>
    </sheetView>
  </sheetViews>
  <sheetFormatPr defaultColWidth="18.42578125" defaultRowHeight="24" customHeight="1" x14ac:dyDescent="0.25"/>
  <cols>
    <col min="1" max="1" width="9.42578125" style="3" customWidth="1"/>
    <col min="2" max="2" width="18.42578125" style="3"/>
    <col min="3" max="3" width="20.42578125" style="3" customWidth="1"/>
    <col min="4" max="4" width="18.42578125" style="3"/>
    <col min="5" max="5" width="17.5703125" style="3" customWidth="1"/>
    <col min="6" max="6" width="25.7109375" style="3" customWidth="1"/>
    <col min="7" max="10" width="18.42578125" style="3"/>
    <col min="11" max="11" width="23.140625" style="3" customWidth="1"/>
    <col min="12" max="15" width="18.42578125" style="3"/>
    <col min="16" max="16" width="22" style="3" customWidth="1"/>
    <col min="17" max="17" width="18.85546875" style="3" customWidth="1"/>
    <col min="18" max="19" width="18.42578125" style="3"/>
    <col min="20" max="20" width="16" style="3" customWidth="1"/>
    <col min="21" max="16384" width="18.42578125" style="3"/>
  </cols>
  <sheetData>
    <row r="1" spans="2:19" ht="24" customHeight="1" thickBot="1" x14ac:dyDescent="0.3">
      <c r="B1" s="2"/>
      <c r="C1" s="2"/>
      <c r="D1" s="2"/>
    </row>
    <row r="2" spans="2:19" ht="24" customHeight="1" thickBot="1" x14ac:dyDescent="0.4">
      <c r="B2" s="94" t="s">
        <v>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6"/>
    </row>
    <row r="3" spans="2:19" ht="24" customHeight="1" thickBot="1" x14ac:dyDescent="0.3"/>
    <row r="4" spans="2:19" ht="24" customHeight="1" x14ac:dyDescent="0.4">
      <c r="B4" s="4"/>
      <c r="C4" s="5" t="s">
        <v>1</v>
      </c>
      <c r="D4" s="6"/>
      <c r="E4" s="6"/>
      <c r="F4" s="7" t="str">
        <f>TEXT(J19,"$ 0,0.00")</f>
        <v>$ 2,686.42</v>
      </c>
      <c r="G4" s="6"/>
      <c r="H4" s="40" t="s">
        <v>2</v>
      </c>
      <c r="I4" s="40"/>
      <c r="J4" s="6"/>
      <c r="K4" s="8" t="str">
        <f>TEXT(K19,"0.00000")</f>
        <v>0.05944</v>
      </c>
      <c r="L4" s="6"/>
      <c r="M4" s="6"/>
      <c r="N4" s="5" t="s">
        <v>3</v>
      </c>
      <c r="O4" s="6"/>
      <c r="P4" s="6"/>
      <c r="Q4" s="9" t="str">
        <f>B11</f>
        <v>ADA</v>
      </c>
      <c r="R4" s="6"/>
      <c r="S4" s="10"/>
    </row>
    <row r="5" spans="2:19" ht="24" customHeight="1" x14ac:dyDescent="0.3">
      <c r="B5" s="11"/>
      <c r="C5" s="12"/>
      <c r="D5" s="13"/>
      <c r="E5" s="13"/>
      <c r="F5" s="13"/>
      <c r="G5" s="13"/>
      <c r="H5" s="12"/>
      <c r="I5" s="12"/>
      <c r="J5" s="13"/>
      <c r="K5" s="14"/>
      <c r="L5" s="14"/>
      <c r="M5" s="13"/>
      <c r="N5" s="12"/>
      <c r="O5" s="13"/>
      <c r="P5" s="13"/>
      <c r="Q5" s="13"/>
      <c r="R5" s="13"/>
      <c r="S5" s="15"/>
    </row>
    <row r="6" spans="2:19" ht="24" customHeight="1" x14ac:dyDescent="0.4">
      <c r="B6" s="11"/>
      <c r="C6" s="16" t="s">
        <v>7</v>
      </c>
      <c r="D6" s="13"/>
      <c r="E6" s="13"/>
      <c r="F6" s="60">
        <f>L19</f>
        <v>1362.1244522091463</v>
      </c>
      <c r="G6" s="13"/>
      <c r="H6" s="17" t="s">
        <v>5</v>
      </c>
      <c r="I6" s="17"/>
      <c r="J6" s="13"/>
      <c r="K6" s="18" t="str">
        <f>Queries!I5</f>
        <v>$ 2,110,909,983,780</v>
      </c>
      <c r="L6" s="14"/>
      <c r="M6" s="19"/>
      <c r="N6" s="20" t="s">
        <v>6</v>
      </c>
      <c r="O6" s="13"/>
      <c r="P6" s="13"/>
      <c r="Q6" s="21">
        <f>Queries!D11</f>
        <v>0.40385630767483</v>
      </c>
      <c r="R6" s="13"/>
      <c r="S6" s="15"/>
    </row>
    <row r="7" spans="2:19" ht="24" customHeight="1" x14ac:dyDescent="0.25">
      <c r="B7" s="1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5"/>
    </row>
    <row r="8" spans="2:19" ht="24" customHeight="1" thickBot="1" x14ac:dyDescent="0.45">
      <c r="B8" s="22"/>
      <c r="C8" s="23" t="s">
        <v>37</v>
      </c>
      <c r="D8" s="24"/>
      <c r="E8" s="24"/>
      <c r="F8" s="25">
        <f>M19/100</f>
        <v>1.0285686641402076</v>
      </c>
      <c r="G8" s="24"/>
      <c r="H8" s="17" t="s">
        <v>116</v>
      </c>
      <c r="I8" s="24"/>
      <c r="J8" s="24"/>
      <c r="K8" s="26" t="str">
        <f>Queries!I6</f>
        <v>$ 189,368,902,084</v>
      </c>
      <c r="L8" s="27"/>
      <c r="M8" s="28"/>
      <c r="N8" s="29" t="s">
        <v>38</v>
      </c>
      <c r="O8" s="24"/>
      <c r="P8" s="24"/>
      <c r="Q8" s="30">
        <f>Queries!C5</f>
        <v>5149</v>
      </c>
      <c r="R8" s="24"/>
      <c r="S8" s="31"/>
    </row>
    <row r="9" spans="2:19" ht="24" customHeight="1" thickBot="1" x14ac:dyDescent="0.3">
      <c r="B9" s="32"/>
      <c r="C9" s="32"/>
      <c r="D9" s="32"/>
      <c r="E9" s="32"/>
      <c r="F9" s="32"/>
      <c r="G9" s="32"/>
      <c r="H9" s="33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</row>
    <row r="10" spans="2:19" ht="63" customHeight="1" thickBot="1" x14ac:dyDescent="0.3">
      <c r="B10" s="34" t="s">
        <v>4</v>
      </c>
      <c r="C10" s="35" t="s">
        <v>8</v>
      </c>
      <c r="D10" s="35" t="s">
        <v>9</v>
      </c>
      <c r="E10" s="35" t="s">
        <v>10</v>
      </c>
      <c r="F10" s="35" t="s">
        <v>19</v>
      </c>
      <c r="G10" s="35" t="s">
        <v>21</v>
      </c>
      <c r="H10" s="35" t="s">
        <v>20</v>
      </c>
      <c r="I10" s="35" t="s">
        <v>95</v>
      </c>
      <c r="J10" s="35" t="s">
        <v>22</v>
      </c>
      <c r="K10" s="35" t="s">
        <v>23</v>
      </c>
      <c r="L10" s="35" t="s">
        <v>58</v>
      </c>
      <c r="M10" s="35" t="s">
        <v>97</v>
      </c>
      <c r="N10" s="35" t="s">
        <v>71</v>
      </c>
      <c r="O10" s="35" t="s">
        <v>24</v>
      </c>
      <c r="P10" s="35" t="s">
        <v>93</v>
      </c>
      <c r="Q10" s="35" t="s">
        <v>25</v>
      </c>
      <c r="R10" s="35" t="s">
        <v>26</v>
      </c>
      <c r="S10" s="36" t="s">
        <v>118</v>
      </c>
    </row>
    <row r="11" spans="2:19" ht="24" customHeight="1" x14ac:dyDescent="0.25">
      <c r="B11" s="41" t="str">
        <f>Database!C18</f>
        <v>ADA</v>
      </c>
      <c r="C11" s="42" t="str">
        <f>Database!D18</f>
        <v>Cardano</v>
      </c>
      <c r="D11" s="43" t="str">
        <f>Database!E18</f>
        <v>Daedalus</v>
      </c>
      <c r="E11" s="42">
        <f>Database!F18</f>
        <v>550</v>
      </c>
      <c r="F11" s="44">
        <f>Database!G18</f>
        <v>2.0909535707254401</v>
      </c>
      <c r="G11" s="45">
        <f>Database!H18</f>
        <v>4.626440162450739E-5</v>
      </c>
      <c r="H11" s="44">
        <f>Database!I18</f>
        <v>0.84271349289090913</v>
      </c>
      <c r="I11" s="47">
        <f>Database!J18</f>
        <v>463.49242109000005</v>
      </c>
      <c r="J11" s="46">
        <f>Database!K18</f>
        <v>1150.0244638989921</v>
      </c>
      <c r="K11" s="45">
        <f>Database!L18</f>
        <v>2.5445420893479065E-2</v>
      </c>
      <c r="L11" s="47">
        <f>Database!M18</f>
        <v>686.53204280899195</v>
      </c>
      <c r="M11" s="47">
        <f>Database!N18</f>
        <v>148.1215250930031</v>
      </c>
      <c r="N11" s="45">
        <f>Database!O18</f>
        <v>1.5190195804103449E-2</v>
      </c>
      <c r="O11" s="48">
        <f>Database!P18</f>
        <v>0.42808880075013267</v>
      </c>
      <c r="P11" s="47">
        <f>Database!Q18</f>
        <v>-4.9010663799999996</v>
      </c>
      <c r="Q11" s="47">
        <f>Database!R18</f>
        <v>-7.8302034999999997</v>
      </c>
      <c r="R11" s="47">
        <f>Database!S18</f>
        <v>19.398063199999999</v>
      </c>
      <c r="S11" s="49">
        <f>Database!T18</f>
        <v>4</v>
      </c>
    </row>
    <row r="12" spans="2:19" ht="24" customHeight="1" x14ac:dyDescent="0.25">
      <c r="B12" s="50" t="str">
        <f>Database!C19</f>
        <v>ETH</v>
      </c>
      <c r="C12" s="51" t="str">
        <f>Database!D19</f>
        <v>Ethereum</v>
      </c>
      <c r="D12" s="52" t="str">
        <f>Database!E19</f>
        <v>S</v>
      </c>
      <c r="E12" s="51">
        <f>Database!F19</f>
        <v>0.26100000000000001</v>
      </c>
      <c r="F12" s="53">
        <f>Database!G19</f>
        <v>3411.2538033798969</v>
      </c>
      <c r="G12" s="54">
        <f>Database!H19</f>
        <v>7.5477341157767372E-2</v>
      </c>
      <c r="H12" s="53">
        <f>Database!I19</f>
        <v>1750.7969348659003</v>
      </c>
      <c r="I12" s="56">
        <f>Database!J19</f>
        <v>456.95800000000003</v>
      </c>
      <c r="J12" s="55">
        <f>Database!K19</f>
        <v>890.33724268215315</v>
      </c>
      <c r="K12" s="54">
        <f>Database!L19</f>
        <v>1.9699586042177288E-2</v>
      </c>
      <c r="L12" s="56">
        <f>Database!M19</f>
        <v>433.37924268215312</v>
      </c>
      <c r="M12" s="56">
        <f>Database!N19</f>
        <v>94.840060286099188</v>
      </c>
      <c r="N12" s="54">
        <f>Database!O19</f>
        <v>9.5889414379563605E-3</v>
      </c>
      <c r="O12" s="57">
        <f>Database!P19</f>
        <v>0.3314219953119702</v>
      </c>
      <c r="P12" s="56">
        <f>Database!Q19</f>
        <v>-4.8996439799999996</v>
      </c>
      <c r="Q12" s="56">
        <f>Database!R19</f>
        <v>-8.5635319899999995</v>
      </c>
      <c r="R12" s="56">
        <f>Database!S19</f>
        <v>-11.690555270000001</v>
      </c>
      <c r="S12" s="58">
        <f>Database!T19</f>
        <v>2</v>
      </c>
    </row>
    <row r="13" spans="2:19" ht="24" customHeight="1" x14ac:dyDescent="0.25">
      <c r="B13" s="50" t="str">
        <f>Database!C20</f>
        <v>BTC</v>
      </c>
      <c r="C13" s="51" t="str">
        <f>Database!D20</f>
        <v>Bitcoin</v>
      </c>
      <c r="D13" s="52" t="str">
        <f>Database!E20</f>
        <v>S &amp; CB Pro</v>
      </c>
      <c r="E13" s="51">
        <f>Database!F20</f>
        <v>6.5500000000000003E-3</v>
      </c>
      <c r="F13" s="53">
        <f>Database!G20</f>
        <v>45195.733594397352</v>
      </c>
      <c r="G13" s="54">
        <f>Database!H20</f>
        <v>1</v>
      </c>
      <c r="H13" s="53">
        <f>Database!I20</f>
        <v>19748.091603053432</v>
      </c>
      <c r="I13" s="56">
        <f>Database!J20</f>
        <v>129.35</v>
      </c>
      <c r="J13" s="55">
        <f>Database!K20</f>
        <v>296.03205504330265</v>
      </c>
      <c r="K13" s="54">
        <f>Database!L20</f>
        <v>6.5499999999999994E-3</v>
      </c>
      <c r="L13" s="56">
        <f>Database!M20</f>
        <v>166.68205504330265</v>
      </c>
      <c r="M13" s="56">
        <f>Database!N20</f>
        <v>128.86127177680916</v>
      </c>
      <c r="N13" s="54">
        <f>Database!O20</f>
        <v>3.688004193917216E-3</v>
      </c>
      <c r="O13" s="57">
        <f>Database!P20</f>
        <v>0.11019592313491461</v>
      </c>
      <c r="P13" s="56">
        <f>Database!Q20</f>
        <v>-3.2830278800000001</v>
      </c>
      <c r="Q13" s="56">
        <f>Database!R20</f>
        <v>-5.4674077499999996</v>
      </c>
      <c r="R13" s="56">
        <f>Database!S20</f>
        <v>-21.004753310000002</v>
      </c>
      <c r="S13" s="58">
        <f>Database!T20</f>
        <v>1</v>
      </c>
    </row>
    <row r="14" spans="2:19" ht="24" customHeight="1" x14ac:dyDescent="0.25">
      <c r="B14" s="50" t="str">
        <f>Database!C21</f>
        <v>NEXO</v>
      </c>
      <c r="C14" s="51" t="str">
        <f>Database!D21</f>
        <v>Nexo</v>
      </c>
      <c r="D14" s="52" t="str">
        <f>Database!E21</f>
        <v>Nexo</v>
      </c>
      <c r="E14" s="51">
        <f>Database!F21</f>
        <v>73.880799999999994</v>
      </c>
      <c r="F14" s="53">
        <f>Database!G21</f>
        <v>3.2202341802132999</v>
      </c>
      <c r="G14" s="54">
        <f>Database!H21</f>
        <v>7.1250844363161161E-5</v>
      </c>
      <c r="H14" s="53">
        <f>Database!I21</f>
        <v>1.3819666273240139</v>
      </c>
      <c r="I14" s="56">
        <f>Database!J21</f>
        <v>102.10079999999999</v>
      </c>
      <c r="J14" s="55">
        <f>Database!K21</f>
        <v>237.91347742150273</v>
      </c>
      <c r="K14" s="54">
        <f>Database!L21</f>
        <v>5.2640693822258357E-3</v>
      </c>
      <c r="L14" s="56">
        <f>Database!M21</f>
        <v>135.81267742150274</v>
      </c>
      <c r="M14" s="56">
        <f>Database!N21</f>
        <v>133.0182304364929</v>
      </c>
      <c r="N14" s="54">
        <f>Database!O21</f>
        <v>3.004988892100617E-3</v>
      </c>
      <c r="O14" s="57">
        <f>Database!P21</f>
        <v>8.8561677102384065E-2</v>
      </c>
      <c r="P14" s="56">
        <f>Database!Q21</f>
        <v>-3.3271756699999999</v>
      </c>
      <c r="Q14" s="56">
        <f>Database!R21</f>
        <v>-6.8421041000000002</v>
      </c>
      <c r="R14" s="56">
        <f>Database!S21</f>
        <v>-15.93703489</v>
      </c>
      <c r="S14" s="58">
        <f>Database!T21</f>
        <v>70</v>
      </c>
    </row>
    <row r="15" spans="2:19" ht="24" customHeight="1" x14ac:dyDescent="0.25">
      <c r="B15" s="50" t="str">
        <f>Database!C22</f>
        <v>XLM</v>
      </c>
      <c r="C15" s="51" t="str">
        <f>Database!D22</f>
        <v>Stellar</v>
      </c>
      <c r="D15" s="52" t="str">
        <f>Database!E22</f>
        <v>S-Stellar.org</v>
      </c>
      <c r="E15" s="51">
        <f>Database!F22</f>
        <v>53</v>
      </c>
      <c r="F15" s="53">
        <f>Database!G22</f>
        <v>0.68280743362762997</v>
      </c>
      <c r="G15" s="54">
        <f>Database!H22</f>
        <v>1.5107785167409554E-5</v>
      </c>
      <c r="H15" s="53">
        <f>Database!I22</f>
        <v>0.80000000000000016</v>
      </c>
      <c r="I15" s="56">
        <f>Database!J22</f>
        <v>42.400000000000006</v>
      </c>
      <c r="J15" s="55">
        <f>Database!K22</f>
        <v>36.188793982264386</v>
      </c>
      <c r="K15" s="54">
        <f>Database!L22</f>
        <v>8.0071261387270622E-4</v>
      </c>
      <c r="L15" s="56">
        <f>Database!M22</f>
        <v>-6.2112060177356199</v>
      </c>
      <c r="M15" s="56">
        <f>Database!N22</f>
        <v>-14.649070796546271</v>
      </c>
      <c r="N15" s="54">
        <f>Database!O22</f>
        <v>-1.3742903419772319E-4</v>
      </c>
      <c r="O15" s="57">
        <f>Database!P22</f>
        <v>1.3471032923889053E-2</v>
      </c>
      <c r="P15" s="56">
        <f>Database!Q22</f>
        <v>-3.9004449600000002</v>
      </c>
      <c r="Q15" s="56">
        <f>Database!R22</f>
        <v>0.21640928000000001</v>
      </c>
      <c r="R15" s="56">
        <f>Database!S22</f>
        <v>11.28767139</v>
      </c>
      <c r="S15" s="58">
        <f>Database!T22</f>
        <v>14</v>
      </c>
    </row>
    <row r="16" spans="2:19" ht="24" customHeight="1" x14ac:dyDescent="0.25">
      <c r="B16" s="50" t="str">
        <f>Database!C23</f>
        <v>XRP</v>
      </c>
      <c r="C16" s="51" t="str">
        <f>Database!D23</f>
        <v>XRP</v>
      </c>
      <c r="D16" s="52" t="str">
        <f>Database!E23</f>
        <v>S</v>
      </c>
      <c r="E16" s="51">
        <f>Database!F23</f>
        <v>26</v>
      </c>
      <c r="F16" s="53">
        <f>Database!G23</f>
        <v>1.3913877442289599</v>
      </c>
      <c r="G16" s="54">
        <f>Database!H23</f>
        <v>3.078582055367815E-5</v>
      </c>
      <c r="H16" s="53">
        <f>Database!I23</f>
        <v>3.5</v>
      </c>
      <c r="I16" s="56">
        <f>Database!J23</f>
        <v>91</v>
      </c>
      <c r="J16" s="55">
        <f>Database!K23</f>
        <v>36.176081349952959</v>
      </c>
      <c r="K16" s="54">
        <f>Database!L23</f>
        <v>8.0043133439563184E-4</v>
      </c>
      <c r="L16" s="56">
        <f>Database!M23</f>
        <v>-54.823918650047041</v>
      </c>
      <c r="M16" s="56">
        <f>Database!N23</f>
        <v>-60.246064450601146</v>
      </c>
      <c r="N16" s="54">
        <f>Database!O23</f>
        <v>-1.2130330517932612E-3</v>
      </c>
      <c r="O16" s="57">
        <f>Database!P23</f>
        <v>1.3466300732799722E-2</v>
      </c>
      <c r="P16" s="56">
        <f>Database!Q23</f>
        <v>-4.8189952900000002</v>
      </c>
      <c r="Q16" s="56">
        <f>Database!R23</f>
        <v>-3.9819559299999998</v>
      </c>
      <c r="R16" s="56">
        <f>Database!S23</f>
        <v>-7.3309241299999996</v>
      </c>
      <c r="S16" s="58">
        <f>Database!T23</f>
        <v>7</v>
      </c>
    </row>
    <row r="17" spans="2:19" ht="24" customHeight="1" x14ac:dyDescent="0.25">
      <c r="B17" s="50" t="str">
        <f>Database!C24</f>
        <v>YFI</v>
      </c>
      <c r="C17" s="51" t="str">
        <f>Database!D24</f>
        <v>yearn.finance</v>
      </c>
      <c r="D17" s="52" t="str">
        <f>Database!E24</f>
        <v>Binance</v>
      </c>
      <c r="E17" s="51">
        <f>Database!F24</f>
        <v>3.7800000000000003E-4</v>
      </c>
      <c r="F17" s="53">
        <f>Database!G24</f>
        <v>61968.591858414198</v>
      </c>
      <c r="G17" s="54">
        <f>Database!H24</f>
        <v>1.3711159644966151</v>
      </c>
      <c r="H17" s="53">
        <f>Database!I24</f>
        <v>80000</v>
      </c>
      <c r="I17" s="56">
        <f>Database!J24</f>
        <v>30.240000000000002</v>
      </c>
      <c r="J17" s="55">
        <f>Database!K24</f>
        <v>23.42412772248057</v>
      </c>
      <c r="K17" s="54">
        <f>Database!L24</f>
        <v>5.1828183457972065E-4</v>
      </c>
      <c r="L17" s="56">
        <f>Database!M24</f>
        <v>-6.815872277519432</v>
      </c>
      <c r="M17" s="56">
        <f>Database!N24</f>
        <v>-22.53926017698225</v>
      </c>
      <c r="N17" s="54">
        <f>Database!O24</f>
        <v>-1.5080786913843468E-4</v>
      </c>
      <c r="O17" s="57">
        <f>Database!P24</f>
        <v>8.7194725504686141E-3</v>
      </c>
      <c r="P17" s="56">
        <f>Database!Q24</f>
        <v>-3.2943293699999998</v>
      </c>
      <c r="Q17" s="56">
        <f>Database!R24</f>
        <v>-8.1644816799999997</v>
      </c>
      <c r="R17" s="56">
        <f>Database!S24</f>
        <v>17.471952659999999</v>
      </c>
      <c r="S17" s="58">
        <f>Database!T24</f>
        <v>58</v>
      </c>
    </row>
    <row r="18" spans="2:19" ht="24" customHeight="1" thickBot="1" x14ac:dyDescent="0.3">
      <c r="B18" s="59" t="str">
        <f>Database!C25</f>
        <v>COMP</v>
      </c>
      <c r="C18" s="51" t="str">
        <f>Database!D25</f>
        <v>Compound</v>
      </c>
      <c r="D18" s="52" t="str">
        <f>Database!E25</f>
        <v>Coinbase</v>
      </c>
      <c r="E18" s="51">
        <f>Database!F25</f>
        <v>2.5000000000000001E-2</v>
      </c>
      <c r="F18" s="53">
        <f>Database!G25</f>
        <v>652.77724793992115</v>
      </c>
      <c r="G18" s="54">
        <f>Database!H25</f>
        <v>1.4443337811444266E-2</v>
      </c>
      <c r="H18" s="53">
        <f>Database!I25</f>
        <v>350</v>
      </c>
      <c r="I18" s="56">
        <f>Database!J25</f>
        <v>8.75</v>
      </c>
      <c r="J18" s="55">
        <f>Database!K25</f>
        <v>16.31943119849803</v>
      </c>
      <c r="K18" s="54">
        <f>Database!L25</f>
        <v>3.6108344528610671E-4</v>
      </c>
      <c r="L18" s="56">
        <f>Database!M25</f>
        <v>7.5694311984980303</v>
      </c>
      <c r="M18" s="56">
        <f>Database!N25</f>
        <v>86.507785125691768</v>
      </c>
      <c r="N18" s="54">
        <f>Database!O25</f>
        <v>1.6748110046025159E-4</v>
      </c>
      <c r="O18" s="57">
        <f>Database!P25</f>
        <v>6.0747974934409095E-3</v>
      </c>
      <c r="P18" s="56">
        <f>Database!Q25</f>
        <v>-4.1063045200000001</v>
      </c>
      <c r="Q18" s="56">
        <f>Database!R25</f>
        <v>-7.9275464600000003</v>
      </c>
      <c r="R18" s="56">
        <f>Database!S25</f>
        <v>-12.86533865</v>
      </c>
      <c r="S18" s="58">
        <f>Database!T25</f>
        <v>47</v>
      </c>
    </row>
    <row r="19" spans="2:19" ht="24" customHeight="1" thickBot="1" x14ac:dyDescent="0.35">
      <c r="B19" s="61" t="s">
        <v>35</v>
      </c>
      <c r="C19" s="62"/>
      <c r="D19" s="62"/>
      <c r="E19" s="62"/>
      <c r="F19" s="62"/>
      <c r="G19" s="62"/>
      <c r="H19" s="62"/>
      <c r="I19" s="63">
        <f>SUM(I11:I18)</f>
        <v>1324.2912210900001</v>
      </c>
      <c r="J19" s="64">
        <f>SUM(J11:J18)</f>
        <v>2686.4156732991469</v>
      </c>
      <c r="K19" s="65">
        <f>SUM(K11:K18)</f>
        <v>5.9439585546016353E-2</v>
      </c>
      <c r="L19" s="63">
        <f>SUM(L11:L18)</f>
        <v>1362.1244522091463</v>
      </c>
      <c r="M19" s="63">
        <f>(L19/(J19-L19))*100</f>
        <v>102.85686641402077</v>
      </c>
      <c r="N19" s="65">
        <f>SUM(N11:N18)</f>
        <v>3.0138341473408478E-2</v>
      </c>
      <c r="O19" s="66">
        <f>SUM(O11:O18)</f>
        <v>0.99999999999999967</v>
      </c>
      <c r="P19" s="38"/>
      <c r="Q19" s="38"/>
      <c r="R19" s="38"/>
      <c r="S19" s="39"/>
    </row>
    <row r="20" spans="2:19" ht="24" customHeight="1" x14ac:dyDescent="0.3">
      <c r="R20" s="37"/>
      <c r="S20" s="1" t="s">
        <v>66</v>
      </c>
    </row>
  </sheetData>
  <mergeCells count="1">
    <mergeCell ref="B2:S2"/>
  </mergeCells>
  <conditionalFormatting sqref="L19:N19 N11:N18 P11:R18">
    <cfRule type="cellIs" dxfId="198" priority="41" operator="lessThan">
      <formula>0</formula>
    </cfRule>
    <cfRule type="cellIs" dxfId="197" priority="42" operator="greaterThan">
      <formula>0</formula>
    </cfRule>
  </conditionalFormatting>
  <conditionalFormatting sqref="F8">
    <cfRule type="cellIs" dxfId="196" priority="21" operator="lessThan">
      <formula>0</formula>
    </cfRule>
    <cfRule type="cellIs" dxfId="195" priority="22" operator="greaterThan">
      <formula>0</formula>
    </cfRule>
  </conditionalFormatting>
  <conditionalFormatting sqref="F6">
    <cfRule type="cellIs" dxfId="194" priority="19" operator="lessThan">
      <formula>0</formula>
    </cfRule>
    <cfRule type="cellIs" dxfId="193" priority="20" operator="greaterThan">
      <formula>0</formula>
    </cfRule>
  </conditionalFormatting>
  <conditionalFormatting sqref="M11">
    <cfRule type="cellIs" dxfId="192" priority="11" operator="lessThan">
      <formula>0</formula>
    </cfRule>
    <cfRule type="cellIs" dxfId="191" priority="13" operator="greaterThan">
      <formula>0</formula>
    </cfRule>
    <cfRule type="cellIs" dxfId="190" priority="18" operator="greaterThan">
      <formula>0</formula>
    </cfRule>
  </conditionalFormatting>
  <conditionalFormatting sqref="M12:M17">
    <cfRule type="cellIs" dxfId="189" priority="9" operator="greaterThan">
      <formula>0</formula>
    </cfRule>
    <cfRule type="cellIs" dxfId="188" priority="17" operator="lessThan">
      <formula>0</formula>
    </cfRule>
  </conditionalFormatting>
  <conditionalFormatting sqref="L12:L17">
    <cfRule type="cellIs" dxfId="187" priority="10" operator="greaterThan">
      <formula>0</formula>
    </cfRule>
    <cfRule type="cellIs" dxfId="186" priority="16" operator="lessThan">
      <formula>0</formula>
    </cfRule>
  </conditionalFormatting>
  <conditionalFormatting sqref="L11">
    <cfRule type="cellIs" dxfId="185" priority="12" operator="lessThan">
      <formula>0</formula>
    </cfRule>
    <cfRule type="cellIs" dxfId="184" priority="14" operator="greaterThan">
      <formula>0</formula>
    </cfRule>
    <cfRule type="cellIs" dxfId="183" priority="15" operator="greaterThan">
      <formula>0</formula>
    </cfRule>
  </conditionalFormatting>
  <conditionalFormatting sqref="M18">
    <cfRule type="cellIs" dxfId="182" priority="1" operator="greaterThan">
      <formula>0</formula>
    </cfRule>
    <cfRule type="cellIs" dxfId="181" priority="4" operator="lessThan">
      <formula>0</formula>
    </cfRule>
  </conditionalFormatting>
  <conditionalFormatting sqref="L18">
    <cfRule type="cellIs" dxfId="180" priority="2" operator="greaterThan">
      <formula>0</formula>
    </cfRule>
    <cfRule type="cellIs" dxfId="179" priority="3" operator="lessThan">
      <formula>0</formula>
    </cfRule>
  </conditionalFormatting>
  <pageMargins left="0.7" right="0.7" top="0.75" bottom="0.75" header="0.3" footer="0.3"/>
  <pageSetup orientation="portrait" r:id="rId1"/>
  <ignoredErrors>
    <ignoredError sqref="M19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3:X37"/>
  <sheetViews>
    <sheetView zoomScale="74" workbookViewId="0">
      <selection activeCell="D35" sqref="D35"/>
    </sheetView>
  </sheetViews>
  <sheetFormatPr defaultColWidth="9.140625" defaultRowHeight="15" x14ac:dyDescent="0.25"/>
  <cols>
    <col min="1" max="1" width="9.140625" style="67"/>
    <col min="2" max="2" width="8.85546875" style="67" customWidth="1"/>
    <col min="3" max="3" width="10.5703125" style="67" customWidth="1"/>
    <col min="4" max="4" width="13.140625" style="67" customWidth="1"/>
    <col min="5" max="5" width="9.85546875" style="67" customWidth="1"/>
    <col min="6" max="6" width="10.85546875" style="67" customWidth="1"/>
    <col min="7" max="7" width="15.85546875" style="67" customWidth="1"/>
    <col min="8" max="8" width="16" style="67" customWidth="1"/>
    <col min="9" max="9" width="15.85546875" style="67" customWidth="1"/>
    <col min="10" max="10" width="16.5703125" style="67" customWidth="1"/>
    <col min="11" max="11" width="12.85546875" style="67" customWidth="1"/>
    <col min="12" max="13" width="10.5703125" style="67" customWidth="1"/>
    <col min="14" max="14" width="13.140625" style="67" customWidth="1"/>
    <col min="15" max="15" width="11.5703125" style="67" customWidth="1"/>
    <col min="16" max="16" width="10.85546875" style="67" customWidth="1"/>
    <col min="17" max="17" width="13.28515625" style="67" customWidth="1"/>
    <col min="18" max="18" width="14.85546875" style="67" customWidth="1"/>
    <col min="19" max="19" width="13.85546875" style="67" customWidth="1"/>
    <col min="20" max="20" width="8.85546875" style="67" customWidth="1"/>
    <col min="21" max="21" width="12.5703125" style="67" customWidth="1"/>
    <col min="22" max="22" width="17" style="67" customWidth="1"/>
    <col min="23" max="16384" width="9.140625" style="67"/>
  </cols>
  <sheetData>
    <row r="3" spans="2:20" x14ac:dyDescent="0.25">
      <c r="B3" s="97" t="s">
        <v>117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</row>
    <row r="4" spans="2:20" ht="18.75" customHeight="1" x14ac:dyDescent="0.25">
      <c r="B4" s="68" t="s">
        <v>27</v>
      </c>
      <c r="C4" s="68" t="s">
        <v>8</v>
      </c>
      <c r="D4" s="68" t="s">
        <v>91</v>
      </c>
      <c r="E4" s="68" t="s">
        <v>118</v>
      </c>
      <c r="F4" s="68" t="s">
        <v>19</v>
      </c>
      <c r="G4" s="68" t="s">
        <v>92</v>
      </c>
      <c r="H4" s="68" t="s">
        <v>93</v>
      </c>
      <c r="I4" s="68" t="s">
        <v>25</v>
      </c>
      <c r="J4" s="68" t="s">
        <v>26</v>
      </c>
      <c r="K4" s="68" t="s">
        <v>94</v>
      </c>
      <c r="L4" s="68" t="s">
        <v>10</v>
      </c>
      <c r="M4" s="68" t="s">
        <v>22</v>
      </c>
      <c r="N4" s="68" t="s">
        <v>9</v>
      </c>
    </row>
    <row r="5" spans="2:20" x14ac:dyDescent="0.25">
      <c r="B5" s="68">
        <f>RANK(M5,$M$5:$M$12,0)+COUNTIF($M$5:M5,M5)-1</f>
        <v>3</v>
      </c>
      <c r="C5" s="68" t="str">
        <f>Queries!D33</f>
        <v>Bitcoin</v>
      </c>
      <c r="D5" s="68" t="str">
        <f>Queries!E33</f>
        <v>BTC</v>
      </c>
      <c r="E5" s="68">
        <f>Queries!F33</f>
        <v>1</v>
      </c>
      <c r="F5" s="68">
        <f>Queries!G33</f>
        <v>45195.733594397352</v>
      </c>
      <c r="G5" s="68">
        <f>Queries!H33</f>
        <v>55955297250.774155</v>
      </c>
      <c r="H5" s="68">
        <f>Queries!I33</f>
        <v>-3.2830278800000001</v>
      </c>
      <c r="I5" s="68">
        <f>Queries!J33</f>
        <v>-5.4674077499999996</v>
      </c>
      <c r="J5" s="68">
        <f>Queries!K33</f>
        <v>-21.004753310000002</v>
      </c>
      <c r="K5" s="68">
        <f>Queries!L33</f>
        <v>845689821821.48962</v>
      </c>
      <c r="L5" s="68">
        <f>VLOOKUP(D5, 'Trade History'!$K$11:$N$22,2,0)</f>
        <v>6.5500000000000003E-3</v>
      </c>
      <c r="M5" s="68">
        <f>F5*L5</f>
        <v>296.03205504330265</v>
      </c>
      <c r="N5" s="68" t="s">
        <v>110</v>
      </c>
    </row>
    <row r="6" spans="2:20" x14ac:dyDescent="0.25">
      <c r="B6" s="68">
        <f>RANK(M6,$M$5:$M$12,0)+COUNTIF($M$5:M6,M6)-1</f>
        <v>6</v>
      </c>
      <c r="C6" s="68" t="str">
        <f>Queries!D34</f>
        <v>XRP</v>
      </c>
      <c r="D6" s="68" t="str">
        <f>Queries!E34</f>
        <v>XRP</v>
      </c>
      <c r="E6" s="68">
        <f>Queries!F34</f>
        <v>7</v>
      </c>
      <c r="F6" s="68">
        <f>Queries!G34</f>
        <v>1.3913877442289599</v>
      </c>
      <c r="G6" s="68">
        <f>Queries!H34</f>
        <v>12689582543.650389</v>
      </c>
      <c r="H6" s="68">
        <f>Queries!I34</f>
        <v>-4.8189952900000002</v>
      </c>
      <c r="I6" s="68">
        <f>Queries!J34</f>
        <v>-3.9819559299999998</v>
      </c>
      <c r="J6" s="68">
        <f>Queries!K34</f>
        <v>-7.3309241299999996</v>
      </c>
      <c r="K6" s="68">
        <f>Queries!L34</f>
        <v>48849295870.615219</v>
      </c>
      <c r="L6" s="68">
        <f>VLOOKUP(D6, 'Trade History'!$K$11:$N$22,2,0)</f>
        <v>26</v>
      </c>
      <c r="M6" s="68">
        <f t="shared" ref="M6:M12" si="0">F6*L6</f>
        <v>36.176081349952959</v>
      </c>
      <c r="N6" s="68" t="s">
        <v>83</v>
      </c>
      <c r="O6" s="69"/>
    </row>
    <row r="7" spans="2:20" x14ac:dyDescent="0.25">
      <c r="B7" s="68">
        <f>RANK(M7,$M$5:$M$12,0)+COUNTIF($M$5:M7,M7)-1</f>
        <v>5</v>
      </c>
      <c r="C7" s="68" t="str">
        <f>Queries!D35</f>
        <v>Stellar</v>
      </c>
      <c r="D7" s="68" t="str">
        <f>Queries!E35</f>
        <v>XLM</v>
      </c>
      <c r="E7" s="68">
        <f>Queries!F35</f>
        <v>14</v>
      </c>
      <c r="F7" s="68">
        <f>Queries!G35</f>
        <v>0.68280743362762997</v>
      </c>
      <c r="G7" s="68">
        <f>Queries!H35</f>
        <v>4705593713.1928091</v>
      </c>
      <c r="H7" s="68">
        <f>Queries!I35</f>
        <v>-3.9004449600000002</v>
      </c>
      <c r="I7" s="68">
        <f>Queries!J35</f>
        <v>0.21640928000000001</v>
      </c>
      <c r="J7" s="68">
        <f>Queries!K35</f>
        <v>11.28767139</v>
      </c>
      <c r="K7" s="68">
        <f>Queries!L35</f>
        <v>15790165087.336971</v>
      </c>
      <c r="L7" s="68">
        <f>VLOOKUP(D7, 'Trade History'!$K$11:$N$22,2,0)</f>
        <v>53</v>
      </c>
      <c r="M7" s="68">
        <f t="shared" si="0"/>
        <v>36.188793982264386</v>
      </c>
      <c r="N7" s="68" t="s">
        <v>84</v>
      </c>
    </row>
    <row r="8" spans="2:20" x14ac:dyDescent="0.25">
      <c r="B8" s="68">
        <f>RANK(M8,$M$5:$M$12,0)+COUNTIF($M$5:M8,M8)-1</f>
        <v>2</v>
      </c>
      <c r="C8" s="68" t="str">
        <f>Queries!D36</f>
        <v>Ethereum</v>
      </c>
      <c r="D8" s="68" t="str">
        <f>Queries!E36</f>
        <v>ETH</v>
      </c>
      <c r="E8" s="68">
        <f>Queries!F36</f>
        <v>2</v>
      </c>
      <c r="F8" s="68">
        <f>Queries!G36</f>
        <v>3411.2538033798969</v>
      </c>
      <c r="G8" s="68">
        <f>Queries!H36</f>
        <v>41707606325.201912</v>
      </c>
      <c r="H8" s="68">
        <f>Queries!I36</f>
        <v>-4.8996439799999996</v>
      </c>
      <c r="I8" s="68">
        <f>Queries!J36</f>
        <v>-8.5635319899999995</v>
      </c>
      <c r="J8" s="68">
        <f>Queries!K36</f>
        <v>-11.690555270000001</v>
      </c>
      <c r="K8" s="68">
        <f>Queries!L36</f>
        <v>395365790749.18201</v>
      </c>
      <c r="L8" s="68">
        <f>VLOOKUP(D8, 'Trade History'!$K$11:$N$22,2,0)</f>
        <v>0.26100000000000001</v>
      </c>
      <c r="M8" s="68">
        <f t="shared" si="0"/>
        <v>890.33724268215315</v>
      </c>
      <c r="N8" s="68" t="s">
        <v>83</v>
      </c>
    </row>
    <row r="9" spans="2:20" x14ac:dyDescent="0.25">
      <c r="B9" s="68">
        <f>RANK(M9,$M$5:$M$12,0)+COUNTIF($M$5:M9,M9)-1</f>
        <v>1</v>
      </c>
      <c r="C9" s="68" t="str">
        <f>Queries!D37</f>
        <v>Cardano</v>
      </c>
      <c r="D9" s="68" t="str">
        <f>Queries!E37</f>
        <v>ADA</v>
      </c>
      <c r="E9" s="68">
        <f>Queries!F37</f>
        <v>4</v>
      </c>
      <c r="F9" s="68">
        <f>Queries!G37</f>
        <v>2.0909535707254401</v>
      </c>
      <c r="G9" s="68">
        <f>Queries!H37</f>
        <v>11356059506.207956</v>
      </c>
      <c r="H9" s="68">
        <f>Queries!I37</f>
        <v>-4.9010663799999996</v>
      </c>
      <c r="I9" s="68">
        <f>Queries!J37</f>
        <v>-7.8302034999999997</v>
      </c>
      <c r="J9" s="68">
        <f>Queries!K37</f>
        <v>19.398063199999999</v>
      </c>
      <c r="K9" s="68">
        <f>Queries!L37</f>
        <v>66802431703.772896</v>
      </c>
      <c r="L9" s="68">
        <f>VLOOKUP(D9, 'Trade History'!$K$11:$N$22,2,0)</f>
        <v>550</v>
      </c>
      <c r="M9" s="68">
        <f t="shared" si="0"/>
        <v>1150.0244638989921</v>
      </c>
      <c r="N9" s="68" t="s">
        <v>34</v>
      </c>
    </row>
    <row r="10" spans="2:20" x14ac:dyDescent="0.25">
      <c r="B10" s="68">
        <f>RANK(M10,$M$5:$M$12,0)+COUNTIF($M$5:M10,M10)-1</f>
        <v>4</v>
      </c>
      <c r="C10" s="68" t="str">
        <f>Queries!D38</f>
        <v>Nexo</v>
      </c>
      <c r="D10" s="68" t="str">
        <f>Queries!E38</f>
        <v>NEXO</v>
      </c>
      <c r="E10" s="68">
        <f>Queries!F38</f>
        <v>70</v>
      </c>
      <c r="F10" s="68">
        <f>Queries!G38</f>
        <v>3.2202341802132999</v>
      </c>
      <c r="G10" s="68">
        <f>Queries!H38</f>
        <v>11133545.572156209</v>
      </c>
      <c r="H10" s="68">
        <f>Queries!I38</f>
        <v>-3.3271756699999999</v>
      </c>
      <c r="I10" s="68">
        <f>Queries!J38</f>
        <v>-6.8421041000000002</v>
      </c>
      <c r="J10" s="68">
        <f>Queries!K38</f>
        <v>-15.93703489</v>
      </c>
      <c r="K10" s="68">
        <f>Queries!L38</f>
        <v>1803331176.3420241</v>
      </c>
      <c r="L10" s="68">
        <f>VLOOKUP(D10, 'Trade History'!$K$11:$N$22,2,0)</f>
        <v>73.880799999999994</v>
      </c>
      <c r="M10" s="68">
        <f t="shared" si="0"/>
        <v>237.91347742150273</v>
      </c>
      <c r="N10" s="68" t="s">
        <v>32</v>
      </c>
    </row>
    <row r="11" spans="2:20" x14ac:dyDescent="0.25">
      <c r="B11" s="68">
        <f>RANK(M11,$M$5:$M$12,0)+COUNTIF($M$5:M11,M11)-1</f>
        <v>8</v>
      </c>
      <c r="C11" s="68" t="str">
        <f>Queries!D39</f>
        <v>Compound</v>
      </c>
      <c r="D11" s="68" t="str">
        <f>Queries!E39</f>
        <v>COMP</v>
      </c>
      <c r="E11" s="68">
        <f>Queries!F39</f>
        <v>47</v>
      </c>
      <c r="F11" s="68">
        <f>Queries!G39</f>
        <v>652.77724793992115</v>
      </c>
      <c r="G11" s="68">
        <f>Queries!H39</f>
        <v>381559996.63892287</v>
      </c>
      <c r="H11" s="68">
        <f>Queries!I39</f>
        <v>-4.1063045200000001</v>
      </c>
      <c r="I11" s="68">
        <f>Queries!J39</f>
        <v>-7.9275464600000003</v>
      </c>
      <c r="J11" s="68">
        <f>Queries!K39</f>
        <v>-12.86533865</v>
      </c>
      <c r="K11" s="68">
        <f>Queries!L39</f>
        <v>3373348979.265974</v>
      </c>
      <c r="L11" s="68">
        <f>VLOOKUP(D11, 'Trade History'!$K$11:$N$22,2,0)</f>
        <v>2.5000000000000001E-2</v>
      </c>
      <c r="M11" s="68">
        <f t="shared" si="0"/>
        <v>16.31943119849803</v>
      </c>
      <c r="N11" s="68" t="s">
        <v>76</v>
      </c>
    </row>
    <row r="12" spans="2:20" x14ac:dyDescent="0.25">
      <c r="B12" s="68">
        <f>RANK(M12,$M$5:$M$12,0)+COUNTIF($M$5:M12,M12)-1</f>
        <v>7</v>
      </c>
      <c r="C12" s="68" t="str">
        <f>Queries!D40</f>
        <v>yearn.finance</v>
      </c>
      <c r="D12" s="68" t="str">
        <f>Queries!E40</f>
        <v>YFI</v>
      </c>
      <c r="E12" s="68">
        <f>Queries!F40</f>
        <v>58</v>
      </c>
      <c r="F12" s="68">
        <f>Queries!G40</f>
        <v>61968.591858414198</v>
      </c>
      <c r="G12" s="68">
        <f>Queries!H40</f>
        <v>673387924.07523537</v>
      </c>
      <c r="H12" s="68">
        <f>Queries!I40</f>
        <v>-3.2943293699999998</v>
      </c>
      <c r="I12" s="68">
        <f>Queries!J40</f>
        <v>-8.1644816799999997</v>
      </c>
      <c r="J12" s="68">
        <f>Queries!K40</f>
        <v>17.471952659999999</v>
      </c>
      <c r="K12" s="68">
        <f>Queries!L40</f>
        <v>2270221352.1881695</v>
      </c>
      <c r="L12" s="68">
        <f>VLOOKUP(D12, 'Trade History'!$K$11:$N$22,2,0)</f>
        <v>3.7800000000000003E-4</v>
      </c>
      <c r="M12" s="68">
        <f t="shared" si="0"/>
        <v>23.42412772248057</v>
      </c>
      <c r="N12" s="68" t="s">
        <v>68</v>
      </c>
    </row>
    <row r="16" spans="2:20" x14ac:dyDescent="0.25">
      <c r="B16" s="97" t="s">
        <v>119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</row>
    <row r="17" spans="2:24" ht="22.5" customHeight="1" x14ac:dyDescent="0.25">
      <c r="B17" s="68" t="s">
        <v>27</v>
      </c>
      <c r="C17" s="68" t="s">
        <v>4</v>
      </c>
      <c r="D17" s="68" t="s">
        <v>8</v>
      </c>
      <c r="E17" s="68" t="s">
        <v>9</v>
      </c>
      <c r="F17" s="68" t="s">
        <v>10</v>
      </c>
      <c r="G17" s="68" t="s">
        <v>19</v>
      </c>
      <c r="H17" s="68" t="s">
        <v>21</v>
      </c>
      <c r="I17" s="68" t="s">
        <v>20</v>
      </c>
      <c r="J17" s="68" t="s">
        <v>95</v>
      </c>
      <c r="K17" s="68" t="s">
        <v>22</v>
      </c>
      <c r="L17" s="68" t="s">
        <v>23</v>
      </c>
      <c r="M17" s="68" t="s">
        <v>58</v>
      </c>
      <c r="N17" s="68" t="s">
        <v>59</v>
      </c>
      <c r="O17" s="68" t="s">
        <v>71</v>
      </c>
      <c r="P17" s="68" t="s">
        <v>24</v>
      </c>
      <c r="Q17" s="68" t="s">
        <v>93</v>
      </c>
      <c r="R17" s="68" t="s">
        <v>25</v>
      </c>
      <c r="S17" s="68" t="s">
        <v>26</v>
      </c>
      <c r="T17" s="68" t="s">
        <v>118</v>
      </c>
    </row>
    <row r="18" spans="2:24" x14ac:dyDescent="0.25">
      <c r="B18" s="68">
        <v>1</v>
      </c>
      <c r="C18" s="68" t="str">
        <f t="shared" ref="C18:C25" si="1">VLOOKUP($B18,$B$5:$N$12,COLUMN(D$16)-COLUMN($A$16), 0)</f>
        <v>ADA</v>
      </c>
      <c r="D18" s="68" t="str">
        <f t="shared" ref="D18:D25" si="2">VLOOKUP($B18,$B$5:$N$12,COLUMN(C$16)-COLUMN($A$16), 0)</f>
        <v>Cardano</v>
      </c>
      <c r="E18" s="68" t="str">
        <f t="shared" ref="E18:E25" si="3">VLOOKUP($B18,$B$5:$N$12,COLUMN(N$16)-COLUMN($A$16), 0)</f>
        <v>Daedalus</v>
      </c>
      <c r="F18" s="68">
        <f t="shared" ref="F18:F25" si="4">VLOOKUP($B18,$B$5:$N$12,COLUMN(L$16)-COLUMN($A$16), 0)</f>
        <v>550</v>
      </c>
      <c r="G18" s="68">
        <f t="shared" ref="G18:G25" si="5">VLOOKUP($B18,$B$5:$N$12,COLUMN(F$16)-COLUMN($A$16), 0)</f>
        <v>2.0909535707254401</v>
      </c>
      <c r="H18" s="68">
        <f>G18/$F$5</f>
        <v>4.626440162450739E-5</v>
      </c>
      <c r="I18" s="68">
        <f>VLOOKUP(C18, 'Trade History'!$K$11:$N$22,4,0)</f>
        <v>0.84271349289090913</v>
      </c>
      <c r="J18" s="68">
        <f>F18*I18</f>
        <v>463.49242109000005</v>
      </c>
      <c r="K18" s="68">
        <f>F18*G18</f>
        <v>1150.0244638989921</v>
      </c>
      <c r="L18" s="68">
        <f>K18/$F$5</f>
        <v>2.5445420893479065E-2</v>
      </c>
      <c r="M18" s="68">
        <f>K18-J18</f>
        <v>686.53204280899195</v>
      </c>
      <c r="N18" s="68">
        <f>(M18/J18)*100</f>
        <v>148.1215250930031</v>
      </c>
      <c r="O18" s="68">
        <f>M18/$F$5</f>
        <v>1.5190195804103449E-2</v>
      </c>
      <c r="P18" s="68">
        <f t="shared" ref="P18:P25" si="6">K18/$V$22</f>
        <v>0.42808880075013267</v>
      </c>
      <c r="Q18" s="68">
        <f t="shared" ref="Q18:S25" si="7">VLOOKUP($B18,$B$5:$N$12,COLUMN(H$16)-COLUMN($A$16), 0)</f>
        <v>-4.9010663799999996</v>
      </c>
      <c r="R18" s="68">
        <f t="shared" si="7"/>
        <v>-7.8302034999999997</v>
      </c>
      <c r="S18" s="68">
        <f t="shared" si="7"/>
        <v>19.398063199999999</v>
      </c>
      <c r="T18" s="68">
        <f t="shared" ref="T18:T25" si="8">VLOOKUP($B18,$B$5:$N$12,COLUMN(E$16)-COLUMN($A$16), 0)</f>
        <v>4</v>
      </c>
      <c r="V18" s="70"/>
      <c r="W18" s="70"/>
      <c r="X18" s="70"/>
    </row>
    <row r="19" spans="2:24" x14ac:dyDescent="0.25">
      <c r="B19" s="68">
        <f>B18+1</f>
        <v>2</v>
      </c>
      <c r="C19" s="68" t="str">
        <f t="shared" si="1"/>
        <v>ETH</v>
      </c>
      <c r="D19" s="68" t="str">
        <f t="shared" si="2"/>
        <v>Ethereum</v>
      </c>
      <c r="E19" s="71" t="str">
        <f t="shared" si="3"/>
        <v>S</v>
      </c>
      <c r="F19" s="68">
        <f t="shared" si="4"/>
        <v>0.26100000000000001</v>
      </c>
      <c r="G19" s="68">
        <f t="shared" si="5"/>
        <v>3411.2538033798969</v>
      </c>
      <c r="H19" s="68">
        <f t="shared" ref="H19:H25" si="9">G19/$F$5</f>
        <v>7.5477341157767372E-2</v>
      </c>
      <c r="I19" s="68">
        <f>VLOOKUP(C19, 'Trade History'!$K$11:$N$22,4,0)</f>
        <v>1750.7969348659003</v>
      </c>
      <c r="J19" s="68">
        <f t="shared" ref="J19:J25" si="10">F19*I19</f>
        <v>456.95800000000003</v>
      </c>
      <c r="K19" s="68">
        <f t="shared" ref="K19:K25" si="11">F19*G19</f>
        <v>890.33724268215315</v>
      </c>
      <c r="L19" s="68">
        <f t="shared" ref="L19:L25" si="12">K19/$F$5</f>
        <v>1.9699586042177288E-2</v>
      </c>
      <c r="M19" s="68">
        <f t="shared" ref="M19:M25" si="13">K19-J19</f>
        <v>433.37924268215312</v>
      </c>
      <c r="N19" s="68">
        <f t="shared" ref="N19:N25" si="14">(M19/J19)*100</f>
        <v>94.840060286099188</v>
      </c>
      <c r="O19" s="68">
        <f t="shared" ref="O19:O25" si="15">M19/$F$5</f>
        <v>9.5889414379563605E-3</v>
      </c>
      <c r="P19" s="68">
        <f t="shared" si="6"/>
        <v>0.3314219953119702</v>
      </c>
      <c r="Q19" s="68">
        <f t="shared" si="7"/>
        <v>-4.8996439799999996</v>
      </c>
      <c r="R19" s="71">
        <f t="shared" si="7"/>
        <v>-8.5635319899999995</v>
      </c>
      <c r="S19" s="68">
        <f t="shared" si="7"/>
        <v>-11.690555270000001</v>
      </c>
      <c r="T19" s="68">
        <f t="shared" si="8"/>
        <v>2</v>
      </c>
      <c r="V19" s="70"/>
      <c r="W19" s="70"/>
      <c r="X19" s="70"/>
    </row>
    <row r="20" spans="2:24" x14ac:dyDescent="0.25">
      <c r="B20" s="68">
        <f t="shared" ref="B20:B25" si="16">B19+1</f>
        <v>3</v>
      </c>
      <c r="C20" s="68" t="str">
        <f t="shared" si="1"/>
        <v>BTC</v>
      </c>
      <c r="D20" s="68" t="str">
        <f t="shared" si="2"/>
        <v>Bitcoin</v>
      </c>
      <c r="E20" s="68" t="str">
        <f t="shared" si="3"/>
        <v>S &amp; CB Pro</v>
      </c>
      <c r="F20" s="68">
        <f t="shared" si="4"/>
        <v>6.5500000000000003E-3</v>
      </c>
      <c r="G20" s="68">
        <f t="shared" si="5"/>
        <v>45195.733594397352</v>
      </c>
      <c r="H20" s="68">
        <f t="shared" si="9"/>
        <v>1</v>
      </c>
      <c r="I20" s="68">
        <f>VLOOKUP(C20, 'Trade History'!$K$11:$N$22,4,0)</f>
        <v>19748.091603053432</v>
      </c>
      <c r="J20" s="68">
        <f t="shared" si="10"/>
        <v>129.35</v>
      </c>
      <c r="K20" s="68">
        <f t="shared" si="11"/>
        <v>296.03205504330265</v>
      </c>
      <c r="L20" s="68">
        <f t="shared" si="12"/>
        <v>6.5499999999999994E-3</v>
      </c>
      <c r="M20" s="68">
        <f t="shared" si="13"/>
        <v>166.68205504330265</v>
      </c>
      <c r="N20" s="68">
        <f t="shared" si="14"/>
        <v>128.86127177680916</v>
      </c>
      <c r="O20" s="68">
        <f t="shared" si="15"/>
        <v>3.688004193917216E-3</v>
      </c>
      <c r="P20" s="68">
        <f t="shared" si="6"/>
        <v>0.11019592313491461</v>
      </c>
      <c r="Q20" s="68">
        <f t="shared" si="7"/>
        <v>-3.2830278800000001</v>
      </c>
      <c r="R20" s="68">
        <f t="shared" si="7"/>
        <v>-5.4674077499999996</v>
      </c>
      <c r="S20" s="68">
        <f t="shared" si="7"/>
        <v>-21.004753310000002</v>
      </c>
      <c r="T20" s="68">
        <f t="shared" si="8"/>
        <v>1</v>
      </c>
      <c r="V20" s="70"/>
      <c r="W20" s="70"/>
      <c r="X20" s="70"/>
    </row>
    <row r="21" spans="2:24" x14ac:dyDescent="0.25">
      <c r="B21" s="68">
        <f t="shared" si="16"/>
        <v>4</v>
      </c>
      <c r="C21" s="68" t="str">
        <f t="shared" si="1"/>
        <v>NEXO</v>
      </c>
      <c r="D21" s="68" t="str">
        <f t="shared" si="2"/>
        <v>Nexo</v>
      </c>
      <c r="E21" s="68" t="str">
        <f t="shared" si="3"/>
        <v>Nexo</v>
      </c>
      <c r="F21" s="68">
        <f t="shared" si="4"/>
        <v>73.880799999999994</v>
      </c>
      <c r="G21" s="68">
        <f t="shared" si="5"/>
        <v>3.2202341802132999</v>
      </c>
      <c r="H21" s="68">
        <f t="shared" si="9"/>
        <v>7.1250844363161161E-5</v>
      </c>
      <c r="I21" s="68">
        <f>VLOOKUP(C21, 'Trade History'!$K$11:$N$22,4,0)</f>
        <v>1.3819666273240139</v>
      </c>
      <c r="J21" s="68">
        <f t="shared" si="10"/>
        <v>102.10079999999999</v>
      </c>
      <c r="K21" s="68">
        <f t="shared" si="11"/>
        <v>237.91347742150273</v>
      </c>
      <c r="L21" s="68">
        <f t="shared" si="12"/>
        <v>5.2640693822258357E-3</v>
      </c>
      <c r="M21" s="68">
        <f t="shared" si="13"/>
        <v>135.81267742150274</v>
      </c>
      <c r="N21" s="68">
        <f t="shared" si="14"/>
        <v>133.0182304364929</v>
      </c>
      <c r="O21" s="68">
        <f t="shared" si="15"/>
        <v>3.004988892100617E-3</v>
      </c>
      <c r="P21" s="68">
        <f t="shared" si="6"/>
        <v>8.8561677102384065E-2</v>
      </c>
      <c r="Q21" s="68">
        <f t="shared" si="7"/>
        <v>-3.3271756699999999</v>
      </c>
      <c r="R21" s="68">
        <f t="shared" si="7"/>
        <v>-6.8421041000000002</v>
      </c>
      <c r="S21" s="68">
        <f t="shared" si="7"/>
        <v>-15.93703489</v>
      </c>
      <c r="T21" s="68">
        <f t="shared" si="8"/>
        <v>70</v>
      </c>
      <c r="V21" s="72" t="s">
        <v>96</v>
      </c>
      <c r="W21" s="70"/>
      <c r="X21" s="70"/>
    </row>
    <row r="22" spans="2:24" x14ac:dyDescent="0.25">
      <c r="B22" s="68">
        <f t="shared" si="16"/>
        <v>5</v>
      </c>
      <c r="C22" s="68" t="str">
        <f t="shared" si="1"/>
        <v>XLM</v>
      </c>
      <c r="D22" s="68" t="str">
        <f t="shared" si="2"/>
        <v>Stellar</v>
      </c>
      <c r="E22" s="68" t="str">
        <f t="shared" si="3"/>
        <v>S-Stellar.org</v>
      </c>
      <c r="F22" s="68">
        <f t="shared" si="4"/>
        <v>53</v>
      </c>
      <c r="G22" s="68">
        <f t="shared" si="5"/>
        <v>0.68280743362762997</v>
      </c>
      <c r="H22" s="68">
        <f t="shared" si="9"/>
        <v>1.5107785167409554E-5</v>
      </c>
      <c r="I22" s="68">
        <f>VLOOKUP(C22, 'Trade History'!$K$11:$N$22,4,0)</f>
        <v>0.80000000000000016</v>
      </c>
      <c r="J22" s="68">
        <f t="shared" si="10"/>
        <v>42.400000000000006</v>
      </c>
      <c r="K22" s="68">
        <f t="shared" si="11"/>
        <v>36.188793982264386</v>
      </c>
      <c r="L22" s="68">
        <f t="shared" si="12"/>
        <v>8.0071261387270622E-4</v>
      </c>
      <c r="M22" s="68">
        <f t="shared" si="13"/>
        <v>-6.2112060177356199</v>
      </c>
      <c r="N22" s="68">
        <f t="shared" si="14"/>
        <v>-14.649070796546271</v>
      </c>
      <c r="O22" s="68">
        <f t="shared" si="15"/>
        <v>-1.3742903419772319E-4</v>
      </c>
      <c r="P22" s="68">
        <f t="shared" si="6"/>
        <v>1.3471032923889053E-2</v>
      </c>
      <c r="Q22" s="68">
        <f t="shared" si="7"/>
        <v>-3.9004449600000002</v>
      </c>
      <c r="R22" s="68">
        <f t="shared" si="7"/>
        <v>0.21640928000000001</v>
      </c>
      <c r="S22" s="68">
        <f t="shared" si="7"/>
        <v>11.28767139</v>
      </c>
      <c r="T22" s="68">
        <f t="shared" si="8"/>
        <v>14</v>
      </c>
      <c r="V22" s="68">
        <f>SUM(K18:K25)</f>
        <v>2686.4156732991469</v>
      </c>
      <c r="W22" s="70"/>
      <c r="X22" s="70"/>
    </row>
    <row r="23" spans="2:24" x14ac:dyDescent="0.25">
      <c r="B23" s="68">
        <f t="shared" si="16"/>
        <v>6</v>
      </c>
      <c r="C23" s="68" t="str">
        <f t="shared" si="1"/>
        <v>XRP</v>
      </c>
      <c r="D23" s="68" t="str">
        <f t="shared" si="2"/>
        <v>XRP</v>
      </c>
      <c r="E23" s="68" t="str">
        <f t="shared" si="3"/>
        <v>S</v>
      </c>
      <c r="F23" s="68">
        <f t="shared" si="4"/>
        <v>26</v>
      </c>
      <c r="G23" s="68">
        <f t="shared" si="5"/>
        <v>1.3913877442289599</v>
      </c>
      <c r="H23" s="68">
        <f t="shared" si="9"/>
        <v>3.078582055367815E-5</v>
      </c>
      <c r="I23" s="68">
        <f>VLOOKUP(C23, 'Trade History'!$K$11:$N$22,4,0)</f>
        <v>3.5</v>
      </c>
      <c r="J23" s="68">
        <f t="shared" si="10"/>
        <v>91</v>
      </c>
      <c r="K23" s="68">
        <f t="shared" si="11"/>
        <v>36.176081349952959</v>
      </c>
      <c r="L23" s="68">
        <f t="shared" si="12"/>
        <v>8.0043133439563184E-4</v>
      </c>
      <c r="M23" s="68">
        <f t="shared" si="13"/>
        <v>-54.823918650047041</v>
      </c>
      <c r="N23" s="68">
        <f t="shared" si="14"/>
        <v>-60.246064450601146</v>
      </c>
      <c r="O23" s="68">
        <f t="shared" si="15"/>
        <v>-1.2130330517932612E-3</v>
      </c>
      <c r="P23" s="68">
        <f t="shared" si="6"/>
        <v>1.3466300732799722E-2</v>
      </c>
      <c r="Q23" s="68">
        <f t="shared" si="7"/>
        <v>-4.8189952900000002</v>
      </c>
      <c r="R23" s="68">
        <f t="shared" si="7"/>
        <v>-3.9819559299999998</v>
      </c>
      <c r="S23" s="68">
        <f t="shared" si="7"/>
        <v>-7.3309241299999996</v>
      </c>
      <c r="T23" s="68">
        <f t="shared" si="8"/>
        <v>7</v>
      </c>
      <c r="V23" s="70"/>
      <c r="W23" s="70"/>
      <c r="X23" s="70"/>
    </row>
    <row r="24" spans="2:24" x14ac:dyDescent="0.25">
      <c r="B24" s="68">
        <f t="shared" si="16"/>
        <v>7</v>
      </c>
      <c r="C24" s="68" t="str">
        <f t="shared" si="1"/>
        <v>YFI</v>
      </c>
      <c r="D24" s="68" t="str">
        <f t="shared" si="2"/>
        <v>yearn.finance</v>
      </c>
      <c r="E24" s="68" t="str">
        <f t="shared" si="3"/>
        <v>Binance</v>
      </c>
      <c r="F24" s="68">
        <f t="shared" si="4"/>
        <v>3.7800000000000003E-4</v>
      </c>
      <c r="G24" s="68">
        <f t="shared" si="5"/>
        <v>61968.591858414198</v>
      </c>
      <c r="H24" s="68">
        <f t="shared" si="9"/>
        <v>1.3711159644966151</v>
      </c>
      <c r="I24" s="68">
        <f>VLOOKUP(C24, 'Trade History'!$K$11:$N$22,4,0)</f>
        <v>80000</v>
      </c>
      <c r="J24" s="68">
        <f t="shared" si="10"/>
        <v>30.240000000000002</v>
      </c>
      <c r="K24" s="68">
        <f t="shared" si="11"/>
        <v>23.42412772248057</v>
      </c>
      <c r="L24" s="68">
        <f t="shared" si="12"/>
        <v>5.1828183457972065E-4</v>
      </c>
      <c r="M24" s="68">
        <f t="shared" si="13"/>
        <v>-6.815872277519432</v>
      </c>
      <c r="N24" s="68">
        <f t="shared" si="14"/>
        <v>-22.53926017698225</v>
      </c>
      <c r="O24" s="68">
        <f t="shared" si="15"/>
        <v>-1.5080786913843468E-4</v>
      </c>
      <c r="P24" s="68">
        <f t="shared" si="6"/>
        <v>8.7194725504686141E-3</v>
      </c>
      <c r="Q24" s="68">
        <f t="shared" si="7"/>
        <v>-3.2943293699999998</v>
      </c>
      <c r="R24" s="68">
        <f t="shared" si="7"/>
        <v>-8.1644816799999997</v>
      </c>
      <c r="S24" s="68">
        <f t="shared" si="7"/>
        <v>17.471952659999999</v>
      </c>
      <c r="T24" s="68">
        <f t="shared" si="8"/>
        <v>58</v>
      </c>
      <c r="V24" s="70"/>
      <c r="W24" s="70"/>
      <c r="X24" s="70"/>
    </row>
    <row r="25" spans="2:24" x14ac:dyDescent="0.25">
      <c r="B25" s="68">
        <f t="shared" si="16"/>
        <v>8</v>
      </c>
      <c r="C25" s="68" t="str">
        <f t="shared" si="1"/>
        <v>COMP</v>
      </c>
      <c r="D25" s="68" t="str">
        <f t="shared" si="2"/>
        <v>Compound</v>
      </c>
      <c r="E25" s="68" t="str">
        <f t="shared" si="3"/>
        <v>Coinbase</v>
      </c>
      <c r="F25" s="68">
        <f t="shared" si="4"/>
        <v>2.5000000000000001E-2</v>
      </c>
      <c r="G25" s="68">
        <f t="shared" si="5"/>
        <v>652.77724793992115</v>
      </c>
      <c r="H25" s="68">
        <f t="shared" si="9"/>
        <v>1.4443337811444266E-2</v>
      </c>
      <c r="I25" s="68">
        <f>VLOOKUP(C25, 'Trade History'!$K$11:$N$22,4,0)</f>
        <v>350</v>
      </c>
      <c r="J25" s="68">
        <f t="shared" si="10"/>
        <v>8.75</v>
      </c>
      <c r="K25" s="68">
        <f t="shared" si="11"/>
        <v>16.31943119849803</v>
      </c>
      <c r="L25" s="68">
        <f t="shared" si="12"/>
        <v>3.6108344528610671E-4</v>
      </c>
      <c r="M25" s="68">
        <f t="shared" si="13"/>
        <v>7.5694311984980303</v>
      </c>
      <c r="N25" s="68">
        <f t="shared" si="14"/>
        <v>86.507785125691768</v>
      </c>
      <c r="O25" s="68">
        <f t="shared" si="15"/>
        <v>1.6748110046025159E-4</v>
      </c>
      <c r="P25" s="68">
        <f t="shared" si="6"/>
        <v>6.0747974934409095E-3</v>
      </c>
      <c r="Q25" s="68">
        <f t="shared" si="7"/>
        <v>-4.1063045200000001</v>
      </c>
      <c r="R25" s="68">
        <f t="shared" si="7"/>
        <v>-7.9275464600000003</v>
      </c>
      <c r="S25" s="68">
        <f t="shared" si="7"/>
        <v>-12.86533865</v>
      </c>
      <c r="T25" s="68">
        <f t="shared" si="8"/>
        <v>47</v>
      </c>
      <c r="V25" s="70"/>
      <c r="W25" s="70"/>
      <c r="X25" s="70"/>
    </row>
    <row r="26" spans="2:24" x14ac:dyDescent="0.25"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V26" s="70"/>
      <c r="W26" s="70"/>
      <c r="X26" s="70"/>
    </row>
    <row r="29" spans="2:24" x14ac:dyDescent="0.25">
      <c r="B29" s="97" t="s">
        <v>120</v>
      </c>
      <c r="C29" s="97"/>
      <c r="D29" s="97"/>
    </row>
    <row r="30" spans="2:24" x14ac:dyDescent="0.25">
      <c r="B30" s="73" t="str">
        <f>'Crypto Portfolio'!B11</f>
        <v>ADA</v>
      </c>
      <c r="C30" s="73">
        <f>IF('Crypto Portfolio'!M11&gt;=0,'Crypto Portfolio'!M11,0)</f>
        <v>148.1215250930031</v>
      </c>
      <c r="D30" s="73">
        <f>IF('Crypto Portfolio'!M11&lt;0,'Crypto Portfolio'!M11,0)</f>
        <v>0</v>
      </c>
    </row>
    <row r="31" spans="2:24" x14ac:dyDescent="0.25">
      <c r="B31" s="73" t="str">
        <f>'Crypto Portfolio'!B12</f>
        <v>ETH</v>
      </c>
      <c r="C31" s="73">
        <f>IF('Crypto Portfolio'!M12&gt;=0,'Crypto Portfolio'!M12,0)</f>
        <v>94.840060286099188</v>
      </c>
      <c r="D31" s="73">
        <f>IF('Crypto Portfolio'!M12&lt;0,'Crypto Portfolio'!M12,0)</f>
        <v>0</v>
      </c>
    </row>
    <row r="32" spans="2:24" x14ac:dyDescent="0.25">
      <c r="B32" s="73" t="str">
        <f>'Crypto Portfolio'!B13</f>
        <v>BTC</v>
      </c>
      <c r="C32" s="73">
        <f>IF('Crypto Portfolio'!M13&gt;=0,'Crypto Portfolio'!M13,0)</f>
        <v>128.86127177680916</v>
      </c>
      <c r="D32" s="73">
        <f>IF('Crypto Portfolio'!M13&lt;0,'Crypto Portfolio'!M13,0)</f>
        <v>0</v>
      </c>
    </row>
    <row r="33" spans="2:4" x14ac:dyDescent="0.25">
      <c r="B33" s="73" t="str">
        <f>'Crypto Portfolio'!B14</f>
        <v>NEXO</v>
      </c>
      <c r="C33" s="73">
        <f>IF('Crypto Portfolio'!M14&gt;=0,'Crypto Portfolio'!M14,0)</f>
        <v>133.0182304364929</v>
      </c>
      <c r="D33" s="73">
        <f>IF('Crypto Portfolio'!M14&lt;0,'Crypto Portfolio'!M14,0)</f>
        <v>0</v>
      </c>
    </row>
    <row r="34" spans="2:4" x14ac:dyDescent="0.25">
      <c r="B34" s="73" t="str">
        <f>'Crypto Portfolio'!B15</f>
        <v>XLM</v>
      </c>
      <c r="C34" s="73">
        <f>IF('Crypto Portfolio'!M15&gt;=0,'Crypto Portfolio'!M15,0)</f>
        <v>0</v>
      </c>
      <c r="D34" s="73">
        <f>IF('Crypto Portfolio'!M15&lt;0,'Crypto Portfolio'!M15,0)</f>
        <v>-14.649070796546271</v>
      </c>
    </row>
    <row r="35" spans="2:4" x14ac:dyDescent="0.25">
      <c r="B35" s="73" t="str">
        <f>'Crypto Portfolio'!B16</f>
        <v>XRP</v>
      </c>
      <c r="C35" s="73">
        <f>IF('Crypto Portfolio'!M16&gt;=0,'Crypto Portfolio'!M16,0)</f>
        <v>0</v>
      </c>
      <c r="D35" s="73">
        <f>IF('Crypto Portfolio'!M16&lt;0,'Crypto Portfolio'!M16,0)</f>
        <v>-60.246064450601146</v>
      </c>
    </row>
    <row r="36" spans="2:4" x14ac:dyDescent="0.25">
      <c r="B36" s="73" t="str">
        <f>'Crypto Portfolio'!B17</f>
        <v>YFI</v>
      </c>
      <c r="C36" s="73">
        <f>IF('Crypto Portfolio'!M17&gt;=0,'Crypto Portfolio'!M17,0)</f>
        <v>0</v>
      </c>
      <c r="D36" s="73">
        <f>IF('Crypto Portfolio'!M17&lt;0,'Crypto Portfolio'!M17,0)</f>
        <v>-22.53926017698225</v>
      </c>
    </row>
    <row r="37" spans="2:4" x14ac:dyDescent="0.25">
      <c r="B37" s="73" t="str">
        <f>'Crypto Portfolio'!B18</f>
        <v>COMP</v>
      </c>
      <c r="C37" s="73">
        <f>IF('Crypto Portfolio'!M18&gt;=0,'Crypto Portfolio'!M18,0)</f>
        <v>86.507785125691768</v>
      </c>
      <c r="D37" s="73">
        <f>IF('Crypto Portfolio'!M18&lt;0,'Crypto Portfolio'!M18,0)</f>
        <v>0</v>
      </c>
    </row>
  </sheetData>
  <mergeCells count="3">
    <mergeCell ref="B3:N3"/>
    <mergeCell ref="B16:T16"/>
    <mergeCell ref="B29:D2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L40"/>
  <sheetViews>
    <sheetView zoomScale="74" zoomScaleNormal="100" workbookViewId="0">
      <selection activeCell="E24" sqref="E24"/>
    </sheetView>
  </sheetViews>
  <sheetFormatPr defaultColWidth="9.140625" defaultRowHeight="15" x14ac:dyDescent="0.25"/>
  <cols>
    <col min="1" max="1" width="9.140625" style="70"/>
    <col min="2" max="2" width="34.7109375" style="70" customWidth="1"/>
    <col min="3" max="3" width="27.7109375" style="70" customWidth="1"/>
    <col min="4" max="4" width="19.5703125" style="70" customWidth="1"/>
    <col min="5" max="5" width="21.140625" style="70" customWidth="1"/>
    <col min="6" max="6" width="24.140625" style="70" customWidth="1"/>
    <col min="7" max="7" width="29.140625" style="70" customWidth="1"/>
    <col min="8" max="8" width="27.7109375" style="70" customWidth="1"/>
    <col min="9" max="9" width="45.85546875" style="70" customWidth="1"/>
    <col min="10" max="10" width="47" style="70" customWidth="1"/>
    <col min="11" max="11" width="45.7109375" style="70" customWidth="1"/>
    <col min="12" max="12" width="37.85546875" style="70" customWidth="1"/>
    <col min="13" max="16384" width="9.140625" style="70"/>
  </cols>
  <sheetData>
    <row r="3" spans="2:11" x14ac:dyDescent="0.25">
      <c r="B3" s="98" t="s">
        <v>122</v>
      </c>
      <c r="C3" s="98"/>
      <c r="G3" s="98" t="s">
        <v>123</v>
      </c>
      <c r="H3" s="98"/>
    </row>
    <row r="4" spans="2:11" x14ac:dyDescent="0.25">
      <c r="B4" s="70" t="s">
        <v>8</v>
      </c>
      <c r="C4" s="70" t="s">
        <v>11</v>
      </c>
      <c r="G4" s="70" t="s">
        <v>8</v>
      </c>
      <c r="H4" s="70" t="s">
        <v>11</v>
      </c>
    </row>
    <row r="5" spans="2:11" x14ac:dyDescent="0.25">
      <c r="B5" s="74" t="s">
        <v>16</v>
      </c>
      <c r="C5" s="70">
        <v>5149</v>
      </c>
      <c r="G5" s="70" t="s">
        <v>17</v>
      </c>
      <c r="H5" s="70">
        <v>2110909983780.3464</v>
      </c>
      <c r="I5" s="70" t="str">
        <f>TEXT(GLOBAL_2[[#This Row],[Value]],"$ 0,0")</f>
        <v>$ 2,110,909,983,780</v>
      </c>
    </row>
    <row r="6" spans="2:11" x14ac:dyDescent="0.25">
      <c r="B6" s="74" t="s">
        <v>81</v>
      </c>
      <c r="C6" s="70">
        <v>9845</v>
      </c>
      <c r="G6" s="70" t="s">
        <v>18</v>
      </c>
      <c r="H6" s="70">
        <v>189368902083.98999</v>
      </c>
      <c r="I6" s="70" t="str">
        <f>TEXT(GLOBAL_2[[#This Row],[Value]],"$ 0,0")</f>
        <v>$ 189,368,902,084</v>
      </c>
    </row>
    <row r="7" spans="2:11" x14ac:dyDescent="0.25">
      <c r="B7" s="74" t="s">
        <v>60</v>
      </c>
      <c r="C7" s="70">
        <v>40508</v>
      </c>
      <c r="G7" s="70" t="s">
        <v>72</v>
      </c>
      <c r="H7" s="70">
        <v>189368902083.98999</v>
      </c>
    </row>
    <row r="8" spans="2:11" x14ac:dyDescent="0.25">
      <c r="B8" s="74" t="s">
        <v>61</v>
      </c>
      <c r="C8" s="70">
        <v>377</v>
      </c>
      <c r="G8" s="70" t="s">
        <v>73</v>
      </c>
      <c r="H8" s="70">
        <v>133177632893.57944</v>
      </c>
    </row>
    <row r="9" spans="2:11" x14ac:dyDescent="0.25">
      <c r="B9" s="74" t="s">
        <v>82</v>
      </c>
      <c r="C9" s="70">
        <v>1360</v>
      </c>
      <c r="D9" s="75"/>
      <c r="E9" s="75"/>
      <c r="G9" s="70" t="s">
        <v>74</v>
      </c>
      <c r="H9" s="70">
        <v>133177632893.57944</v>
      </c>
    </row>
    <row r="10" spans="2:11" x14ac:dyDescent="0.25">
      <c r="B10" s="74" t="s">
        <v>62</v>
      </c>
      <c r="C10" s="70">
        <v>18.983169359146</v>
      </c>
      <c r="D10" s="75"/>
      <c r="E10" s="75"/>
      <c r="G10" s="70" t="s">
        <v>75</v>
      </c>
      <c r="H10" s="70">
        <v>1258405671896.8828</v>
      </c>
      <c r="J10" s="76"/>
      <c r="K10" s="76"/>
    </row>
    <row r="11" spans="2:11" x14ac:dyDescent="0.25">
      <c r="B11" s="74" t="s">
        <v>63</v>
      </c>
      <c r="C11" s="70">
        <v>40.385630767483001</v>
      </c>
      <c r="D11" s="75">
        <f>GLOBAL_1[[#This Row],[Value]]/100</f>
        <v>0.40385630767483</v>
      </c>
      <c r="E11" s="75"/>
      <c r="G11" s="70" t="s">
        <v>15</v>
      </c>
      <c r="H11" s="70" t="s">
        <v>124</v>
      </c>
      <c r="J11" s="76"/>
      <c r="K11" s="76"/>
    </row>
    <row r="12" spans="2:11" x14ac:dyDescent="0.25">
      <c r="B12" s="74" t="s">
        <v>98</v>
      </c>
      <c r="C12" s="70">
        <v>15895783817.818001</v>
      </c>
      <c r="J12" s="76"/>
      <c r="K12" s="76"/>
    </row>
    <row r="13" spans="2:11" x14ac:dyDescent="0.25">
      <c r="B13" s="74" t="s">
        <v>99</v>
      </c>
      <c r="C13" s="70">
        <v>15895783817.818001</v>
      </c>
      <c r="J13" s="76"/>
      <c r="K13" s="76"/>
    </row>
    <row r="14" spans="2:11" x14ac:dyDescent="0.25">
      <c r="B14" s="77" t="s">
        <v>100</v>
      </c>
      <c r="C14" s="70">
        <v>119349831907.9873</v>
      </c>
      <c r="H14" s="76"/>
      <c r="I14" s="76"/>
      <c r="J14" s="76"/>
      <c r="K14" s="76"/>
    </row>
    <row r="15" spans="2:11" x14ac:dyDescent="0.25">
      <c r="B15" s="79" t="s">
        <v>101</v>
      </c>
      <c r="C15" s="70">
        <v>-11.026054764722</v>
      </c>
      <c r="H15" s="76"/>
      <c r="I15" s="76"/>
      <c r="J15" s="76"/>
      <c r="K15" s="76"/>
    </row>
    <row r="16" spans="2:11" x14ac:dyDescent="0.25">
      <c r="B16" s="77" t="s">
        <v>102</v>
      </c>
      <c r="C16" s="70">
        <v>154942698410.35089</v>
      </c>
      <c r="H16" s="76"/>
      <c r="I16" s="76"/>
      <c r="J16" s="76"/>
      <c r="K16" s="76"/>
    </row>
    <row r="17" spans="2:12" x14ac:dyDescent="0.25">
      <c r="B17" s="74" t="s">
        <v>103</v>
      </c>
      <c r="C17" s="70">
        <v>154942698410.35089</v>
      </c>
      <c r="H17" s="76"/>
      <c r="I17" s="76"/>
    </row>
    <row r="18" spans="2:12" x14ac:dyDescent="0.25">
      <c r="B18" s="74" t="s">
        <v>104</v>
      </c>
      <c r="C18" s="70">
        <v>103159082661.79276</v>
      </c>
      <c r="H18" s="76"/>
      <c r="I18" s="76"/>
    </row>
    <row r="19" spans="2:12" x14ac:dyDescent="0.25">
      <c r="B19" s="74" t="s">
        <v>105</v>
      </c>
      <c r="C19" s="70">
        <v>-10.542351993743999</v>
      </c>
      <c r="H19" s="76"/>
      <c r="I19" s="76"/>
    </row>
    <row r="20" spans="2:12" x14ac:dyDescent="0.25">
      <c r="B20" s="74" t="s">
        <v>106</v>
      </c>
      <c r="C20" s="70">
        <v>245977772591.34424</v>
      </c>
      <c r="H20" s="76"/>
      <c r="I20" s="76"/>
    </row>
    <row r="21" spans="2:12" x14ac:dyDescent="0.25">
      <c r="B21" s="74" t="s">
        <v>107</v>
      </c>
      <c r="C21" s="70">
        <v>245977772591.34424</v>
      </c>
      <c r="H21" s="76"/>
      <c r="I21" s="76"/>
    </row>
    <row r="22" spans="2:12" x14ac:dyDescent="0.25">
      <c r="B22" s="74" t="s">
        <v>108</v>
      </c>
      <c r="C22" s="70">
        <v>-2.1892955518330002</v>
      </c>
      <c r="H22" s="76"/>
      <c r="I22" s="76"/>
    </row>
    <row r="23" spans="2:12" x14ac:dyDescent="0.25">
      <c r="B23" s="74" t="s">
        <v>39</v>
      </c>
      <c r="C23" s="70" t="s">
        <v>14</v>
      </c>
      <c r="H23" s="76"/>
      <c r="I23" s="76"/>
    </row>
    <row r="24" spans="2:12" x14ac:dyDescent="0.25">
      <c r="B24" s="74" t="s">
        <v>15</v>
      </c>
      <c r="C24" s="70" t="s">
        <v>124</v>
      </c>
      <c r="H24" s="76"/>
      <c r="I24" s="76"/>
    </row>
    <row r="25" spans="2:12" x14ac:dyDescent="0.25">
      <c r="H25" s="76"/>
      <c r="I25" s="76"/>
    </row>
    <row r="26" spans="2:12" x14ac:dyDescent="0.25">
      <c r="H26" s="76"/>
    </row>
    <row r="31" spans="2:12" x14ac:dyDescent="0.25">
      <c r="B31" s="98" t="s">
        <v>121</v>
      </c>
      <c r="C31" s="98"/>
      <c r="D31" s="98"/>
      <c r="E31" s="98"/>
      <c r="F31" s="98"/>
      <c r="G31" s="98"/>
      <c r="H31" s="98"/>
      <c r="I31" s="98"/>
      <c r="J31" s="98"/>
      <c r="K31" s="98"/>
      <c r="L31" s="98"/>
    </row>
    <row r="32" spans="2:12" x14ac:dyDescent="0.25">
      <c r="B32" s="70" t="s">
        <v>8</v>
      </c>
      <c r="C32" s="70" t="s">
        <v>40</v>
      </c>
      <c r="D32" s="70" t="s">
        <v>41</v>
      </c>
      <c r="E32" s="70" t="s">
        <v>42</v>
      </c>
      <c r="F32" s="70" t="s">
        <v>43</v>
      </c>
      <c r="G32" s="70" t="s">
        <v>44</v>
      </c>
      <c r="H32" s="70" t="s">
        <v>45</v>
      </c>
      <c r="I32" s="70" t="s">
        <v>46</v>
      </c>
      <c r="J32" s="70" t="s">
        <v>47</v>
      </c>
      <c r="K32" s="70" t="s">
        <v>48</v>
      </c>
      <c r="L32" s="70" t="s">
        <v>49</v>
      </c>
    </row>
    <row r="33" spans="2:12" x14ac:dyDescent="0.25">
      <c r="B33" s="74" t="s">
        <v>50</v>
      </c>
      <c r="C33" s="70">
        <v>1</v>
      </c>
      <c r="D33" s="70" t="s">
        <v>28</v>
      </c>
      <c r="E33" s="70" t="s">
        <v>29</v>
      </c>
      <c r="F33" s="70">
        <v>1</v>
      </c>
      <c r="G33" s="70">
        <v>45195.733594397352</v>
      </c>
      <c r="H33" s="70">
        <v>55955297250.774155</v>
      </c>
      <c r="I33" s="70">
        <v>-3.2830278800000001</v>
      </c>
      <c r="J33" s="70">
        <v>-5.4674077499999996</v>
      </c>
      <c r="K33" s="70">
        <v>-21.004753310000002</v>
      </c>
      <c r="L33" s="78">
        <v>845689821821.48962</v>
      </c>
    </row>
    <row r="34" spans="2:12" x14ac:dyDescent="0.25">
      <c r="B34" s="74" t="s">
        <v>51</v>
      </c>
      <c r="C34" s="70">
        <v>52</v>
      </c>
      <c r="D34" s="70" t="s">
        <v>36</v>
      </c>
      <c r="E34" s="70" t="s">
        <v>36</v>
      </c>
      <c r="F34" s="70">
        <v>7</v>
      </c>
      <c r="G34" s="70">
        <v>1.3913877442289599</v>
      </c>
      <c r="H34" s="70">
        <v>12689582543.650389</v>
      </c>
      <c r="I34" s="70">
        <v>-4.8189952900000002</v>
      </c>
      <c r="J34" s="70">
        <v>-3.9819559299999998</v>
      </c>
      <c r="K34" s="70">
        <v>-7.3309241299999996</v>
      </c>
      <c r="L34" s="78">
        <v>48849295870.615219</v>
      </c>
    </row>
    <row r="35" spans="2:12" x14ac:dyDescent="0.25">
      <c r="B35" s="74" t="s">
        <v>52</v>
      </c>
      <c r="C35" s="70">
        <v>512</v>
      </c>
      <c r="D35" s="70" t="s">
        <v>53</v>
      </c>
      <c r="E35" s="70" t="s">
        <v>54</v>
      </c>
      <c r="F35" s="70">
        <v>14</v>
      </c>
      <c r="G35" s="70">
        <v>0.68280743362762997</v>
      </c>
      <c r="H35" s="70">
        <v>4705593713.1928091</v>
      </c>
      <c r="I35" s="70">
        <v>-3.9004449600000002</v>
      </c>
      <c r="J35" s="70">
        <v>0.21640928000000001</v>
      </c>
      <c r="K35" s="70">
        <v>11.28767139</v>
      </c>
      <c r="L35" s="78">
        <v>15790165087.336971</v>
      </c>
    </row>
    <row r="36" spans="2:12" x14ac:dyDescent="0.25">
      <c r="B36" s="74" t="s">
        <v>55</v>
      </c>
      <c r="C36" s="70">
        <v>1027</v>
      </c>
      <c r="D36" s="70" t="s">
        <v>30</v>
      </c>
      <c r="E36" s="70" t="s">
        <v>31</v>
      </c>
      <c r="F36" s="70">
        <v>2</v>
      </c>
      <c r="G36" s="70">
        <v>3411.2538033798969</v>
      </c>
      <c r="H36" s="70">
        <v>41707606325.201912</v>
      </c>
      <c r="I36" s="70">
        <v>-4.8996439799999996</v>
      </c>
      <c r="J36" s="70">
        <v>-8.5635319899999995</v>
      </c>
      <c r="K36" s="70">
        <v>-11.690555270000001</v>
      </c>
      <c r="L36" s="78">
        <v>395365790749.18201</v>
      </c>
    </row>
    <row r="37" spans="2:12" x14ac:dyDescent="0.25">
      <c r="B37" s="74" t="s">
        <v>56</v>
      </c>
      <c r="C37" s="70">
        <v>2010</v>
      </c>
      <c r="D37" s="70" t="s">
        <v>12</v>
      </c>
      <c r="E37" s="70" t="s">
        <v>13</v>
      </c>
      <c r="F37" s="70">
        <v>4</v>
      </c>
      <c r="G37" s="70">
        <v>2.0909535707254401</v>
      </c>
      <c r="H37" s="70">
        <v>11356059506.207956</v>
      </c>
      <c r="I37" s="70">
        <v>-4.9010663799999996</v>
      </c>
      <c r="J37" s="70">
        <v>-7.8302034999999997</v>
      </c>
      <c r="K37" s="70">
        <v>19.398063199999999</v>
      </c>
      <c r="L37" s="78">
        <v>66802431703.772896</v>
      </c>
    </row>
    <row r="38" spans="2:12" x14ac:dyDescent="0.25">
      <c r="B38" s="74" t="s">
        <v>57</v>
      </c>
      <c r="C38" s="70">
        <v>2694</v>
      </c>
      <c r="D38" s="70" t="s">
        <v>32</v>
      </c>
      <c r="E38" s="70" t="s">
        <v>33</v>
      </c>
      <c r="F38" s="70">
        <v>70</v>
      </c>
      <c r="G38" s="70">
        <v>3.2202341802132999</v>
      </c>
      <c r="H38" s="70">
        <v>11133545.572156209</v>
      </c>
      <c r="I38" s="70">
        <v>-3.3271756699999999</v>
      </c>
      <c r="J38" s="70">
        <v>-6.8421041000000002</v>
      </c>
      <c r="K38" s="70">
        <v>-15.93703489</v>
      </c>
      <c r="L38" s="78">
        <v>1803331176.3420241</v>
      </c>
    </row>
    <row r="39" spans="2:12" x14ac:dyDescent="0.25">
      <c r="B39" s="79" t="s">
        <v>85</v>
      </c>
      <c r="C39" s="70">
        <v>5692</v>
      </c>
      <c r="D39" s="70" t="s">
        <v>86</v>
      </c>
      <c r="E39" s="70" t="s">
        <v>87</v>
      </c>
      <c r="F39" s="70">
        <v>47</v>
      </c>
      <c r="G39" s="70">
        <v>652.77724793992115</v>
      </c>
      <c r="H39" s="70">
        <v>381559996.63892287</v>
      </c>
      <c r="I39" s="70">
        <v>-4.1063045200000001</v>
      </c>
      <c r="J39" s="70">
        <v>-7.9275464600000003</v>
      </c>
      <c r="K39" s="70">
        <v>-12.86533865</v>
      </c>
      <c r="L39" s="78">
        <v>3373348979.265974</v>
      </c>
    </row>
    <row r="40" spans="2:12" x14ac:dyDescent="0.25">
      <c r="B40" s="77" t="s">
        <v>88</v>
      </c>
      <c r="C40" s="70">
        <v>5864</v>
      </c>
      <c r="D40" s="70" t="s">
        <v>89</v>
      </c>
      <c r="E40" s="70" t="s">
        <v>90</v>
      </c>
      <c r="F40" s="70">
        <v>58</v>
      </c>
      <c r="G40" s="70">
        <v>61968.591858414198</v>
      </c>
      <c r="H40" s="70">
        <v>673387924.07523537</v>
      </c>
      <c r="I40" s="70">
        <v>-3.2943293699999998</v>
      </c>
      <c r="J40" s="70">
        <v>-8.1644816799999997</v>
      </c>
      <c r="K40" s="70">
        <v>17.471952659999999</v>
      </c>
      <c r="L40" s="78">
        <v>2270221352.1881695</v>
      </c>
    </row>
  </sheetData>
  <mergeCells count="3">
    <mergeCell ref="B3:C3"/>
    <mergeCell ref="G3:H3"/>
    <mergeCell ref="B31:L31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9"/>
  <sheetViews>
    <sheetView zoomScale="115" workbookViewId="0">
      <pane ySplit="1" topLeftCell="A9" activePane="bottomLeft" state="frozen"/>
      <selection pane="bottomLeft" activeCell="M25" sqref="M25"/>
    </sheetView>
  </sheetViews>
  <sheetFormatPr defaultColWidth="11.5703125" defaultRowHeight="15.6" customHeight="1" x14ac:dyDescent="0.25"/>
  <cols>
    <col min="1" max="1" width="13" style="84" customWidth="1"/>
    <col min="2" max="2" width="8.28515625" style="67" customWidth="1"/>
    <col min="3" max="3" width="13.5703125" style="67" customWidth="1"/>
    <col min="4" max="4" width="10.7109375" style="67" customWidth="1"/>
    <col min="5" max="5" width="16.5703125" style="67" customWidth="1"/>
    <col min="6" max="6" width="14.85546875" style="67" customWidth="1"/>
    <col min="7" max="7" width="10.7109375" style="67" bestFit="1" customWidth="1"/>
    <col min="8" max="10" width="11.5703125" style="67"/>
    <col min="11" max="11" width="10" style="67" customWidth="1"/>
    <col min="12" max="12" width="16.5703125" style="67" customWidth="1"/>
    <col min="13" max="13" width="14.140625" style="67" customWidth="1"/>
    <col min="14" max="14" width="18.140625" style="67" customWidth="1"/>
    <col min="15" max="17" width="4.85546875" style="67" customWidth="1"/>
    <col min="18" max="18" width="14.42578125" style="67" customWidth="1"/>
    <col min="19" max="20" width="4.85546875" style="67" customWidth="1"/>
    <col min="21" max="21" width="3.85546875" style="67" customWidth="1"/>
    <col min="22" max="22" width="4.85546875" style="67" customWidth="1"/>
    <col min="23" max="23" width="5.85546875" style="67" customWidth="1"/>
    <col min="24" max="27" width="3.85546875" style="67" customWidth="1"/>
    <col min="28" max="34" width="4.85546875" style="67" customWidth="1"/>
    <col min="35" max="35" width="5.85546875" style="67" customWidth="1"/>
    <col min="36" max="36" width="6.7109375" style="67" customWidth="1"/>
    <col min="37" max="37" width="10.7109375" style="67" customWidth="1"/>
    <col min="38" max="16384" width="11.5703125" style="67"/>
  </cols>
  <sheetData>
    <row r="1" spans="1:14" ht="20.100000000000001" customHeight="1" x14ac:dyDescent="0.25">
      <c r="A1" s="80" t="s">
        <v>64</v>
      </c>
      <c r="B1" s="80" t="s">
        <v>112</v>
      </c>
      <c r="C1" s="80" t="s">
        <v>10</v>
      </c>
      <c r="D1" s="80" t="s">
        <v>65</v>
      </c>
      <c r="E1" s="80" t="s">
        <v>113</v>
      </c>
      <c r="F1" s="80" t="s">
        <v>67</v>
      </c>
      <c r="G1" s="80" t="s">
        <v>69</v>
      </c>
    </row>
    <row r="2" spans="1:14" ht="15.6" customHeight="1" x14ac:dyDescent="0.25">
      <c r="A2" s="81">
        <v>44058</v>
      </c>
      <c r="B2" s="81" t="s">
        <v>13</v>
      </c>
      <c r="C2" s="70">
        <v>23.57</v>
      </c>
      <c r="D2" s="70">
        <v>6.7053000000000001E-2</v>
      </c>
      <c r="E2" s="82">
        <f t="shared" ref="E2:E33" si="0">D2*C2</f>
        <v>1.58043921</v>
      </c>
      <c r="F2" s="82" t="s">
        <v>68</v>
      </c>
      <c r="G2" s="82"/>
    </row>
    <row r="3" spans="1:14" ht="15.6" customHeight="1" x14ac:dyDescent="0.25">
      <c r="A3" s="81">
        <v>44059</v>
      </c>
      <c r="B3" s="70" t="s">
        <v>33</v>
      </c>
      <c r="C3" s="70">
        <v>9</v>
      </c>
      <c r="D3" s="70">
        <v>0.06</v>
      </c>
      <c r="E3" s="70">
        <f t="shared" si="0"/>
        <v>0.54</v>
      </c>
      <c r="F3" s="82" t="s">
        <v>70</v>
      </c>
    </row>
    <row r="4" spans="1:14" ht="15.6" customHeight="1" x14ac:dyDescent="0.25">
      <c r="A4" s="81">
        <v>44060</v>
      </c>
      <c r="B4" s="81" t="s">
        <v>13</v>
      </c>
      <c r="C4" s="70">
        <v>18</v>
      </c>
      <c r="D4" s="70">
        <v>8.6527999999999994E-2</v>
      </c>
      <c r="E4" s="82">
        <f t="shared" si="0"/>
        <v>1.5575039999999998</v>
      </c>
      <c r="F4" s="82" t="s">
        <v>68</v>
      </c>
      <c r="G4" s="82"/>
    </row>
    <row r="5" spans="1:14" ht="15.6" customHeight="1" x14ac:dyDescent="0.25">
      <c r="A5" s="81">
        <v>44061</v>
      </c>
      <c r="B5" s="70" t="s">
        <v>33</v>
      </c>
      <c r="C5" s="70">
        <v>14</v>
      </c>
      <c r="D5" s="70">
        <v>0.10199999999999999</v>
      </c>
      <c r="E5" s="70">
        <f t="shared" si="0"/>
        <v>1.4279999999999999</v>
      </c>
      <c r="F5" s="82" t="s">
        <v>70</v>
      </c>
    </row>
    <row r="6" spans="1:14" ht="15.6" customHeight="1" x14ac:dyDescent="0.25">
      <c r="A6" s="81">
        <v>44062</v>
      </c>
      <c r="B6" s="81" t="s">
        <v>13</v>
      </c>
      <c r="C6" s="70">
        <v>13.48</v>
      </c>
      <c r="D6" s="70">
        <v>8.4530999999999995E-2</v>
      </c>
      <c r="E6" s="82">
        <f t="shared" si="0"/>
        <v>1.1394778800000001</v>
      </c>
      <c r="F6" s="82" t="s">
        <v>130</v>
      </c>
      <c r="G6" s="82"/>
    </row>
    <row r="7" spans="1:14" ht="15.6" customHeight="1" x14ac:dyDescent="0.25">
      <c r="A7" s="81">
        <v>44063</v>
      </c>
      <c r="B7" s="70" t="s">
        <v>33</v>
      </c>
      <c r="C7" s="70">
        <v>19.754799999999999</v>
      </c>
      <c r="D7" s="70">
        <v>1</v>
      </c>
      <c r="E7" s="70">
        <f t="shared" si="0"/>
        <v>19.754799999999999</v>
      </c>
      <c r="F7" s="82" t="s">
        <v>70</v>
      </c>
    </row>
    <row r="8" spans="1:14" ht="15.6" customHeight="1" x14ac:dyDescent="0.25">
      <c r="A8" s="81">
        <v>44064</v>
      </c>
      <c r="B8" s="70" t="s">
        <v>33</v>
      </c>
      <c r="C8" s="70">
        <v>13</v>
      </c>
      <c r="D8" s="70">
        <v>2</v>
      </c>
      <c r="E8" s="70">
        <f t="shared" si="0"/>
        <v>26</v>
      </c>
      <c r="F8" s="82" t="s">
        <v>128</v>
      </c>
    </row>
    <row r="9" spans="1:14" ht="15.6" customHeight="1" x14ac:dyDescent="0.25">
      <c r="A9" s="81">
        <v>44065</v>
      </c>
      <c r="B9" s="70" t="s">
        <v>33</v>
      </c>
      <c r="C9" s="70">
        <v>18.125999999999998</v>
      </c>
      <c r="D9" s="70">
        <v>3</v>
      </c>
      <c r="E9" s="70">
        <f t="shared" si="0"/>
        <v>54.377999999999993</v>
      </c>
      <c r="F9" s="82" t="s">
        <v>70</v>
      </c>
    </row>
    <row r="10" spans="1:14" ht="18" customHeight="1" x14ac:dyDescent="0.25">
      <c r="A10" s="81">
        <v>44066</v>
      </c>
      <c r="B10" s="81" t="s">
        <v>13</v>
      </c>
      <c r="C10" s="70">
        <v>30</v>
      </c>
      <c r="D10" s="70">
        <v>7.3999999999999996E-2</v>
      </c>
      <c r="E10" s="82">
        <f t="shared" si="0"/>
        <v>2.2199999999999998</v>
      </c>
      <c r="F10" s="82" t="s">
        <v>130</v>
      </c>
      <c r="G10" s="82"/>
      <c r="K10" s="90" t="s">
        <v>112</v>
      </c>
      <c r="L10" s="90" t="s">
        <v>114</v>
      </c>
      <c r="M10" s="90" t="s">
        <v>95</v>
      </c>
      <c r="N10" s="90" t="s">
        <v>115</v>
      </c>
    </row>
    <row r="11" spans="1:14" ht="15.6" customHeight="1" x14ac:dyDescent="0.25">
      <c r="A11" s="81">
        <v>44067</v>
      </c>
      <c r="B11" s="70" t="s">
        <v>31</v>
      </c>
      <c r="C11" s="70">
        <v>0.16300000000000001</v>
      </c>
      <c r="D11" s="70">
        <v>2000</v>
      </c>
      <c r="E11" s="70">
        <f t="shared" si="0"/>
        <v>326</v>
      </c>
      <c r="F11" s="70" t="s">
        <v>68</v>
      </c>
      <c r="G11" s="70"/>
      <c r="K11" s="91" t="s">
        <v>13</v>
      </c>
      <c r="L11" s="92">
        <v>550</v>
      </c>
      <c r="M11" s="92">
        <v>463.49242108999999</v>
      </c>
      <c r="N11" s="93">
        <v>0.84271349289090913</v>
      </c>
    </row>
    <row r="12" spans="1:14" ht="18.95" customHeight="1" x14ac:dyDescent="0.25">
      <c r="A12" s="81">
        <v>44068</v>
      </c>
      <c r="B12" s="70" t="s">
        <v>36</v>
      </c>
      <c r="C12" s="70">
        <v>26</v>
      </c>
      <c r="D12" s="70">
        <v>3.5</v>
      </c>
      <c r="E12" s="70">
        <f t="shared" si="0"/>
        <v>91</v>
      </c>
      <c r="F12" s="70" t="s">
        <v>129</v>
      </c>
      <c r="K12" s="91" t="s">
        <v>29</v>
      </c>
      <c r="L12" s="92">
        <v>6.5500000000000003E-3</v>
      </c>
      <c r="M12" s="92">
        <v>129.35</v>
      </c>
      <c r="N12" s="93">
        <v>19748.091603053432</v>
      </c>
    </row>
    <row r="13" spans="1:14" ht="15.6" customHeight="1" x14ac:dyDescent="0.25">
      <c r="A13" s="81">
        <v>44069</v>
      </c>
      <c r="B13" s="70" t="s">
        <v>54</v>
      </c>
      <c r="C13" s="82">
        <v>53</v>
      </c>
      <c r="D13" s="82">
        <v>0.8</v>
      </c>
      <c r="E13" s="82">
        <f t="shared" si="0"/>
        <v>42.400000000000006</v>
      </c>
      <c r="F13" s="82" t="s">
        <v>68</v>
      </c>
      <c r="K13" s="91" t="s">
        <v>31</v>
      </c>
      <c r="L13" s="92">
        <v>0.26100000000000001</v>
      </c>
      <c r="M13" s="92">
        <v>456.95799999999997</v>
      </c>
      <c r="N13" s="93">
        <v>1750.7969348659003</v>
      </c>
    </row>
    <row r="14" spans="1:14" ht="15.6" customHeight="1" x14ac:dyDescent="0.25">
      <c r="A14" s="81">
        <v>44070</v>
      </c>
      <c r="B14" s="81" t="s">
        <v>13</v>
      </c>
      <c r="C14" s="82">
        <v>347.95</v>
      </c>
      <c r="D14" s="82">
        <v>1</v>
      </c>
      <c r="E14" s="82">
        <f t="shared" si="0"/>
        <v>347.95</v>
      </c>
      <c r="F14" s="82" t="s">
        <v>130</v>
      </c>
      <c r="G14" s="82"/>
      <c r="K14" s="91" t="s">
        <v>36</v>
      </c>
      <c r="L14" s="92">
        <v>26</v>
      </c>
      <c r="M14" s="92">
        <v>91</v>
      </c>
      <c r="N14" s="93">
        <v>3.5</v>
      </c>
    </row>
    <row r="15" spans="1:14" ht="15.6" customHeight="1" x14ac:dyDescent="0.25">
      <c r="A15" s="81">
        <v>44071</v>
      </c>
      <c r="B15" s="70" t="s">
        <v>29</v>
      </c>
      <c r="C15" s="82">
        <v>5.0000000000000002E-5</v>
      </c>
      <c r="D15" s="82">
        <v>10000</v>
      </c>
      <c r="E15" s="82">
        <f t="shared" si="0"/>
        <v>0.5</v>
      </c>
      <c r="F15" s="82" t="s">
        <v>128</v>
      </c>
      <c r="G15" s="82"/>
      <c r="K15" s="91" t="s">
        <v>33</v>
      </c>
      <c r="L15" s="92">
        <v>73.880799999999994</v>
      </c>
      <c r="M15" s="92">
        <v>102.10079999999999</v>
      </c>
      <c r="N15" s="93">
        <v>1.3819666273240139</v>
      </c>
    </row>
    <row r="16" spans="1:14" ht="15.6" customHeight="1" x14ac:dyDescent="0.25">
      <c r="A16" s="81">
        <v>44072</v>
      </c>
      <c r="B16" s="70" t="s">
        <v>29</v>
      </c>
      <c r="C16" s="82">
        <v>2.9999999999999997E-4</v>
      </c>
      <c r="D16" s="82">
        <v>10000</v>
      </c>
      <c r="E16" s="82">
        <f t="shared" si="0"/>
        <v>2.9999999999999996</v>
      </c>
      <c r="F16" s="82" t="s">
        <v>76</v>
      </c>
      <c r="G16" s="82"/>
      <c r="K16" s="91" t="s">
        <v>54</v>
      </c>
      <c r="L16" s="92">
        <v>53</v>
      </c>
      <c r="M16" s="92">
        <v>42.400000000000006</v>
      </c>
      <c r="N16" s="93">
        <v>0.80000000000000016</v>
      </c>
    </row>
    <row r="17" spans="1:14" ht="15.6" customHeight="1" x14ac:dyDescent="0.25">
      <c r="A17" s="81">
        <v>44073</v>
      </c>
      <c r="B17" s="70" t="s">
        <v>31</v>
      </c>
      <c r="C17" s="70">
        <v>1.8000000000000002E-2</v>
      </c>
      <c r="D17" s="70">
        <v>2000</v>
      </c>
      <c r="E17" s="70">
        <f t="shared" si="0"/>
        <v>36.000000000000007</v>
      </c>
      <c r="F17" s="70" t="s">
        <v>129</v>
      </c>
      <c r="G17" s="70"/>
      <c r="K17" s="91" t="s">
        <v>87</v>
      </c>
      <c r="L17" s="92">
        <v>2.5000000000000001E-2</v>
      </c>
      <c r="M17" s="92">
        <v>8.75</v>
      </c>
      <c r="N17" s="93">
        <v>350</v>
      </c>
    </row>
    <row r="18" spans="1:14" ht="15.6" customHeight="1" x14ac:dyDescent="0.25">
      <c r="A18" s="81">
        <v>44074</v>
      </c>
      <c r="B18" s="70" t="s">
        <v>29</v>
      </c>
      <c r="C18" s="82">
        <v>5.0000000000000001E-4</v>
      </c>
      <c r="D18" s="82">
        <v>8700</v>
      </c>
      <c r="E18" s="82">
        <f t="shared" si="0"/>
        <v>4.3500000000000005</v>
      </c>
      <c r="F18" s="82" t="s">
        <v>128</v>
      </c>
      <c r="G18" s="82"/>
      <c r="K18" s="91" t="s">
        <v>90</v>
      </c>
      <c r="L18" s="92">
        <v>3.7800000000000003E-4</v>
      </c>
      <c r="M18" s="92">
        <v>30.240000000000002</v>
      </c>
      <c r="N18" s="93">
        <v>80000</v>
      </c>
    </row>
    <row r="19" spans="1:14" ht="15.6" customHeight="1" x14ac:dyDescent="0.25">
      <c r="A19" s="81">
        <v>44075</v>
      </c>
      <c r="B19" s="70" t="s">
        <v>31</v>
      </c>
      <c r="C19" s="70">
        <v>2.2000000000000002E-2</v>
      </c>
      <c r="D19" s="70">
        <v>189</v>
      </c>
      <c r="E19" s="70">
        <f t="shared" si="0"/>
        <v>4.1580000000000004</v>
      </c>
      <c r="F19" s="70" t="s">
        <v>76</v>
      </c>
      <c r="G19" s="70"/>
      <c r="K19"/>
      <c r="L19"/>
      <c r="M19"/>
      <c r="N19"/>
    </row>
    <row r="20" spans="1:14" ht="15.6" customHeight="1" x14ac:dyDescent="0.25">
      <c r="A20" s="81">
        <v>44076</v>
      </c>
      <c r="B20" s="70" t="s">
        <v>29</v>
      </c>
      <c r="C20" s="82">
        <v>5.0000000000000001E-4</v>
      </c>
      <c r="D20" s="82">
        <v>9000</v>
      </c>
      <c r="E20" s="82">
        <f t="shared" si="0"/>
        <v>4.5</v>
      </c>
      <c r="F20" s="70" t="s">
        <v>129</v>
      </c>
      <c r="G20" s="82"/>
      <c r="K20"/>
      <c r="L20"/>
      <c r="M20"/>
      <c r="N20"/>
    </row>
    <row r="21" spans="1:14" ht="15.6" customHeight="1" x14ac:dyDescent="0.25">
      <c r="A21" s="81">
        <v>44077</v>
      </c>
      <c r="B21" s="70" t="s">
        <v>31</v>
      </c>
      <c r="C21" s="70">
        <v>2.2000000000000002E-2</v>
      </c>
      <c r="D21" s="70">
        <v>200</v>
      </c>
      <c r="E21" s="70">
        <f t="shared" si="0"/>
        <v>4.4000000000000004</v>
      </c>
      <c r="F21" s="70" t="s">
        <v>76</v>
      </c>
      <c r="G21" s="70"/>
      <c r="K21"/>
      <c r="L21"/>
      <c r="M21"/>
      <c r="N21"/>
    </row>
    <row r="22" spans="1:14" ht="15.6" customHeight="1" x14ac:dyDescent="0.25">
      <c r="A22" s="81">
        <v>44078</v>
      </c>
      <c r="B22" s="70" t="s">
        <v>29</v>
      </c>
      <c r="C22" s="82">
        <v>1E-3</v>
      </c>
      <c r="D22" s="82">
        <v>9600</v>
      </c>
      <c r="E22" s="82">
        <f t="shared" si="0"/>
        <v>9.6</v>
      </c>
      <c r="F22" s="70" t="s">
        <v>129</v>
      </c>
      <c r="G22" s="82"/>
      <c r="K22"/>
      <c r="L22"/>
      <c r="M22"/>
      <c r="N22"/>
    </row>
    <row r="23" spans="1:14" ht="15.6" customHeight="1" x14ac:dyDescent="0.25">
      <c r="A23" s="81">
        <v>44079</v>
      </c>
      <c r="B23" s="70" t="s">
        <v>31</v>
      </c>
      <c r="C23" s="70">
        <v>3.6000000000000004E-2</v>
      </c>
      <c r="D23" s="70">
        <v>2400</v>
      </c>
      <c r="E23" s="70">
        <f t="shared" si="0"/>
        <v>86.4</v>
      </c>
      <c r="F23" s="70" t="s">
        <v>76</v>
      </c>
      <c r="G23" s="70"/>
    </row>
    <row r="24" spans="1:14" ht="15.6" customHeight="1" x14ac:dyDescent="0.25">
      <c r="A24" s="81">
        <v>44080</v>
      </c>
      <c r="B24" s="70" t="s">
        <v>29</v>
      </c>
      <c r="C24" s="82">
        <v>8.0000000000000004E-4</v>
      </c>
      <c r="D24" s="82">
        <v>11000</v>
      </c>
      <c r="E24" s="82">
        <f t="shared" si="0"/>
        <v>8.8000000000000007</v>
      </c>
      <c r="F24" s="70" t="s">
        <v>129</v>
      </c>
      <c r="G24" s="82"/>
    </row>
    <row r="25" spans="1:14" ht="15.6" customHeight="1" x14ac:dyDescent="0.25">
      <c r="A25" s="81">
        <v>44081</v>
      </c>
      <c r="B25" s="81" t="s">
        <v>13</v>
      </c>
      <c r="C25" s="82">
        <v>50</v>
      </c>
      <c r="D25" s="82">
        <v>2</v>
      </c>
      <c r="E25" s="82">
        <f t="shared" si="0"/>
        <v>100</v>
      </c>
      <c r="F25" s="82" t="s">
        <v>130</v>
      </c>
      <c r="G25" s="82"/>
    </row>
    <row r="26" spans="1:14" ht="15.6" customHeight="1" x14ac:dyDescent="0.25">
      <c r="A26" s="81">
        <v>44082</v>
      </c>
      <c r="B26" s="81" t="s">
        <v>13</v>
      </c>
      <c r="C26" s="82">
        <v>67</v>
      </c>
      <c r="D26" s="82">
        <v>0.13500000000000001</v>
      </c>
      <c r="E26" s="82">
        <f t="shared" si="0"/>
        <v>9.0449999999999999</v>
      </c>
      <c r="F26" s="82" t="s">
        <v>68</v>
      </c>
      <c r="G26" s="82"/>
    </row>
    <row r="27" spans="1:14" ht="15.6" customHeight="1" x14ac:dyDescent="0.25">
      <c r="A27" s="81">
        <v>44083</v>
      </c>
      <c r="B27" s="70" t="s">
        <v>90</v>
      </c>
      <c r="C27" s="82">
        <v>3.7800000000000003E-4</v>
      </c>
      <c r="D27" s="82">
        <v>80000</v>
      </c>
      <c r="E27" s="82">
        <f t="shared" si="0"/>
        <v>30.240000000000002</v>
      </c>
      <c r="F27" s="82" t="s">
        <v>130</v>
      </c>
      <c r="G27" s="82"/>
    </row>
    <row r="28" spans="1:14" ht="15.6" customHeight="1" x14ac:dyDescent="0.25">
      <c r="A28" s="81">
        <v>44084</v>
      </c>
      <c r="B28" s="70" t="s">
        <v>87</v>
      </c>
      <c r="C28" s="82">
        <v>2.5000000000000001E-2</v>
      </c>
      <c r="D28" s="82">
        <v>350</v>
      </c>
      <c r="E28" s="82">
        <f t="shared" si="0"/>
        <v>8.75</v>
      </c>
      <c r="F28" s="82" t="s">
        <v>76</v>
      </c>
      <c r="G28" s="82"/>
      <c r="L28" s="83"/>
    </row>
    <row r="29" spans="1:14" ht="15.6" customHeight="1" x14ac:dyDescent="0.25">
      <c r="A29" s="81">
        <v>44085</v>
      </c>
      <c r="B29" s="70" t="s">
        <v>29</v>
      </c>
      <c r="C29" s="82">
        <v>1.1000000000000001E-3</v>
      </c>
      <c r="D29" s="82">
        <v>20000</v>
      </c>
      <c r="E29" s="82">
        <f t="shared" si="0"/>
        <v>22</v>
      </c>
      <c r="F29" s="70" t="s">
        <v>129</v>
      </c>
      <c r="G29" s="82"/>
      <c r="L29" s="83"/>
    </row>
    <row r="30" spans="1:14" ht="15.6" customHeight="1" x14ac:dyDescent="0.25">
      <c r="A30" s="81">
        <v>44086</v>
      </c>
      <c r="B30" s="70" t="s">
        <v>29</v>
      </c>
      <c r="C30" s="82">
        <v>8.9999999999999998E-4</v>
      </c>
      <c r="D30" s="82">
        <v>30000</v>
      </c>
      <c r="E30" s="82">
        <f t="shared" si="0"/>
        <v>27</v>
      </c>
      <c r="F30" s="82" t="s">
        <v>128</v>
      </c>
      <c r="G30" s="82"/>
      <c r="L30" s="83"/>
    </row>
    <row r="31" spans="1:14" ht="15.6" customHeight="1" x14ac:dyDescent="0.25">
      <c r="A31" s="81">
        <v>44087</v>
      </c>
      <c r="B31" s="70" t="s">
        <v>29</v>
      </c>
      <c r="C31" s="82">
        <v>5.0000000000000001E-4</v>
      </c>
      <c r="D31" s="82">
        <v>35000</v>
      </c>
      <c r="E31" s="82">
        <f t="shared" si="0"/>
        <v>17.5</v>
      </c>
      <c r="F31" s="82" t="s">
        <v>109</v>
      </c>
      <c r="G31" s="82"/>
      <c r="L31" s="83"/>
    </row>
    <row r="32" spans="1:14" ht="15.6" customHeight="1" x14ac:dyDescent="0.25">
      <c r="A32" s="81">
        <v>44088</v>
      </c>
      <c r="B32" s="70" t="s">
        <v>29</v>
      </c>
      <c r="C32" s="82">
        <v>5.9999999999999995E-4</v>
      </c>
      <c r="D32" s="82">
        <v>31000</v>
      </c>
      <c r="E32" s="82">
        <f t="shared" si="0"/>
        <v>18.599999999999998</v>
      </c>
      <c r="F32" s="70" t="s">
        <v>129</v>
      </c>
      <c r="G32" s="82"/>
      <c r="L32" s="83"/>
    </row>
    <row r="33" spans="1:12" ht="15.6" customHeight="1" x14ac:dyDescent="0.25">
      <c r="A33" s="81">
        <v>44089</v>
      </c>
      <c r="B33" s="70" t="s">
        <v>29</v>
      </c>
      <c r="C33" s="82">
        <v>2.9999999999999997E-4</v>
      </c>
      <c r="D33" s="82">
        <v>45000</v>
      </c>
      <c r="E33" s="82">
        <f t="shared" si="0"/>
        <v>13.499999999999998</v>
      </c>
      <c r="F33" s="82" t="s">
        <v>128</v>
      </c>
      <c r="G33" s="82"/>
      <c r="L33" s="83"/>
    </row>
    <row r="34" spans="1:12" ht="15.6" customHeight="1" x14ac:dyDescent="0.25">
      <c r="L34" s="83"/>
    </row>
    <row r="35" spans="1:12" ht="15.6" customHeight="1" x14ac:dyDescent="0.25">
      <c r="L35" s="83"/>
    </row>
    <row r="36" spans="1:12" ht="15.6" customHeight="1" x14ac:dyDescent="0.25">
      <c r="L36" s="83"/>
    </row>
    <row r="37" spans="1:12" ht="15.6" customHeight="1" x14ac:dyDescent="0.25">
      <c r="L37" s="83"/>
    </row>
    <row r="38" spans="1:12" ht="15.6" customHeight="1" x14ac:dyDescent="0.25">
      <c r="L38" s="83"/>
    </row>
    <row r="39" spans="1:12" ht="15.6" customHeight="1" x14ac:dyDescent="0.25">
      <c r="L39" s="83"/>
    </row>
  </sheetData>
  <sortState ref="A2:G47">
    <sortCondition ref="A1"/>
  </sortState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6"/>
  <sheetViews>
    <sheetView workbookViewId="0">
      <selection activeCell="H17" sqref="H17"/>
    </sheetView>
  </sheetViews>
  <sheetFormatPr defaultColWidth="15.5703125" defaultRowHeight="30.75" customHeight="1" x14ac:dyDescent="0.25"/>
  <cols>
    <col min="1" max="4" width="15.5703125" style="82"/>
    <col min="5" max="5" width="20.5703125" style="82" customWidth="1"/>
    <col min="6" max="16384" width="15.5703125" style="82"/>
  </cols>
  <sheetData>
    <row r="1" spans="1:6" ht="30.75" customHeight="1" x14ac:dyDescent="0.25">
      <c r="A1" s="85" t="s">
        <v>77</v>
      </c>
      <c r="B1" s="85" t="s">
        <v>79</v>
      </c>
      <c r="C1" s="86"/>
      <c r="D1" s="86"/>
      <c r="E1" s="86"/>
      <c r="F1" s="86"/>
    </row>
    <row r="2" spans="1:6" ht="30.75" customHeight="1" x14ac:dyDescent="0.25">
      <c r="A2" s="81" t="s">
        <v>78</v>
      </c>
      <c r="B2" s="78">
        <f>'Crypto Portfolio'!J19</f>
        <v>2686.4156732991469</v>
      </c>
      <c r="C2" s="70"/>
    </row>
    <row r="3" spans="1:6" ht="30.75" customHeight="1" x14ac:dyDescent="0.25">
      <c r="A3" s="81" t="s">
        <v>125</v>
      </c>
      <c r="B3" s="87">
        <v>5000</v>
      </c>
      <c r="C3" s="70"/>
      <c r="E3" s="85" t="s">
        <v>80</v>
      </c>
    </row>
    <row r="4" spans="1:6" ht="30.75" customHeight="1" x14ac:dyDescent="0.25">
      <c r="A4" s="81" t="s">
        <v>126</v>
      </c>
      <c r="B4" s="88">
        <v>100</v>
      </c>
      <c r="C4" s="70"/>
      <c r="E4" s="89">
        <f>SUM(B2:B13)</f>
        <v>11286.415673299147</v>
      </c>
    </row>
    <row r="5" spans="1:6" ht="30.75" customHeight="1" x14ac:dyDescent="0.25">
      <c r="A5" s="81" t="s">
        <v>127</v>
      </c>
      <c r="B5" s="88">
        <v>500</v>
      </c>
      <c r="C5" s="70"/>
    </row>
    <row r="6" spans="1:6" ht="30.75" customHeight="1" x14ac:dyDescent="0.25">
      <c r="A6" s="82" t="s">
        <v>111</v>
      </c>
      <c r="B6" s="88">
        <v>3000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FD99B6-270F-4929-8E13-2E9AC10D41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Crypto Portfolio</vt:lpstr>
      <vt:lpstr>Database</vt:lpstr>
      <vt:lpstr>Queries</vt:lpstr>
      <vt:lpstr>Trade History</vt:lpstr>
      <vt:lpstr>Other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2021-05-24T20:59:57Z</dcterms:modified>
</cp:coreProperties>
</file>